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9584b74b320a978c/Documents/CONTENUS DE FORMATION/GESTION RH/"/>
    </mc:Choice>
  </mc:AlternateContent>
  <xr:revisionPtr revIDLastSave="0" documentId="8_{C7B6735F-B3CF-494C-930C-9370526A9B03}" xr6:coauthVersionLast="47" xr6:coauthVersionMax="47" xr10:uidLastSave="{00000000-0000-0000-0000-000000000000}"/>
  <bookViews>
    <workbookView xWindow="-110" yWindow="-110" windowWidth="19420" windowHeight="12300" activeTab="2" xr2:uid="{C768D282-652F-4311-A52D-A7D4F1ED3601}"/>
  </bookViews>
  <sheets>
    <sheet name="Mode d'emploi" sheetId="1" r:id="rId1"/>
    <sheet name="Données salariés" sheetId="2" r:id="rId2"/>
    <sheet name="Tableau de bord RH" sheetId="3" r:id="rId3"/>
  </sheets>
  <definedNames>
    <definedName name="Contrat">'Données salariés'!$E$35:$E$38</definedName>
    <definedName name="Contrat_1">Tableau1[[#All],[Contrat]]</definedName>
    <definedName name="Département">Tableau2[[#All],[Département]]</definedName>
    <definedName name="Département_1">Tableau2[Département]</definedName>
    <definedName name="_xlnm.Print_Area" localSheetId="1">'Données salariés'!$A$1:$S$30</definedName>
    <definedName name="_xlnm.Print_Area" localSheetId="0">'Mode d''emploi'!$B$1:$B$17</definedName>
    <definedName name="_xlnm.Print_Area" localSheetId="2">'Tableau de bord RH'!$A$1:$L$65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E4" i="3" l="1"/>
  <c r="E16" i="2"/>
  <c r="F16" i="2" s="1"/>
  <c r="H16" i="2"/>
  <c r="I16" i="2" s="1"/>
  <c r="E17" i="2"/>
  <c r="F17" i="2" s="1"/>
  <c r="H17" i="2"/>
  <c r="I17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8" i="2"/>
  <c r="I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8" i="2"/>
  <c r="F18" i="2" s="1"/>
  <c r="E19" i="2"/>
  <c r="F19" i="2" s="1"/>
  <c r="E20" i="2"/>
  <c r="F20" i="2" s="1"/>
  <c r="E21" i="2"/>
  <c r="F21" i="2" s="1"/>
  <c r="E8" i="2"/>
  <c r="F8" i="2" s="1"/>
</calcChain>
</file>

<file path=xl/sharedStrings.xml><?xml version="1.0" encoding="utf-8"?>
<sst xmlns="http://schemas.openxmlformats.org/spreadsheetml/2006/main" count="153" uniqueCount="80">
  <si>
    <t xml:space="preserve">Vous souhaitez apporter un reporting fiable à votre direction mais vous ne savez pas par où commencer et quelles informations mettre en avant ? </t>
  </si>
  <si>
    <t xml:space="preserve">Ce modèle Excel de tableau de bord RH vous permet de visualiser rapidement les principaux indicateurs sociaux de votre entreprise et de réaliser un diagnostic de la situation de l’entreprise à un instant T.  </t>
  </si>
  <si>
    <t xml:space="preserve">Comment ça marche ? </t>
  </si>
  <si>
    <t xml:space="preserve">Simple d’utilisation, ce modèle est exploitable sans formation particulière </t>
  </si>
  <si>
    <t xml:space="preserve"> - Remplissez l’onglet « Données salariés » avec les informations des collaborateurs de votre entreprise. Les colonnes « Age » et « Année d’ancienneté » se calculent automatiquement. Vous pouvez également ajouter autant de critères que vous jugez utiles. </t>
  </si>
  <si>
    <t>- L’onglet « Tableau de bord RH » vous permet de visualiser et suivre vos indicateurs RH pour vous aider dans vos prises de décisions. Les graphiques se mettent automatiquement à jour lorsque vous entrez de nouvelles données.</t>
  </si>
  <si>
    <t xml:space="preserve"> </t>
  </si>
  <si>
    <t>Sexe</t>
  </si>
  <si>
    <t>1 = Homme</t>
  </si>
  <si>
    <t>2 = Femme</t>
  </si>
  <si>
    <t>Entrez ici les données de vos collaborateurs. Les colonnes « Age » et « Année d’ancienneté » se calculent automatiquement. Vous pouvez également ajouter autant de critères que vous jugez utile !</t>
  </si>
  <si>
    <t>Nom Prénom</t>
  </si>
  <si>
    <t>Date de naissance</t>
  </si>
  <si>
    <t>Age</t>
  </si>
  <si>
    <t>Tranche d'âge</t>
  </si>
  <si>
    <t>Date d'embauche</t>
  </si>
  <si>
    <t>Ancienneté</t>
  </si>
  <si>
    <t>Tranche d'ancienneté</t>
  </si>
  <si>
    <t>Date de sortie</t>
  </si>
  <si>
    <t xml:space="preserve">Motif de sortie </t>
  </si>
  <si>
    <t>Type de contrat</t>
  </si>
  <si>
    <t>Statut professionnel</t>
  </si>
  <si>
    <t>Département</t>
  </si>
  <si>
    <t>Métier</t>
  </si>
  <si>
    <t>Rémunération perçue annuelle</t>
  </si>
  <si>
    <t>Autre critère 1</t>
  </si>
  <si>
    <t>Autre critère 2</t>
  </si>
  <si>
    <t>Nathalie Dupont</t>
  </si>
  <si>
    <t>CDI</t>
  </si>
  <si>
    <t>Cadre</t>
  </si>
  <si>
    <t>Comptabilité</t>
  </si>
  <si>
    <t>Experte comptable</t>
  </si>
  <si>
    <t>Paul Durand</t>
  </si>
  <si>
    <t>Employé</t>
  </si>
  <si>
    <t>Commercial</t>
  </si>
  <si>
    <t>Vendeur</t>
  </si>
  <si>
    <t>Jules Petit</t>
  </si>
  <si>
    <t>CDD</t>
  </si>
  <si>
    <t>Ouvrier</t>
  </si>
  <si>
    <t>R&amp;D</t>
  </si>
  <si>
    <t>Assistant</t>
  </si>
  <si>
    <t>Louise Robert</t>
  </si>
  <si>
    <t>RH</t>
  </si>
  <si>
    <t>DRH</t>
  </si>
  <si>
    <t>Florian Bon</t>
  </si>
  <si>
    <t>Guillaume Magie</t>
  </si>
  <si>
    <t>Charlotte Pomme</t>
  </si>
  <si>
    <t>Marketing</t>
  </si>
  <si>
    <t>Patrick Bref</t>
  </si>
  <si>
    <t>DAF</t>
  </si>
  <si>
    <t>Contrat</t>
  </si>
  <si>
    <t>Stage</t>
  </si>
  <si>
    <t>Interim</t>
  </si>
  <si>
    <t>Effectif global</t>
  </si>
  <si>
    <t>Masse salariale</t>
  </si>
  <si>
    <t>(personnes)</t>
  </si>
  <si>
    <t>Tableaux croisés dynamiques du tableau de bord RH</t>
  </si>
  <si>
    <t>Étiquettes de lignes</t>
  </si>
  <si>
    <t>Nombre de Nom Prénom</t>
  </si>
  <si>
    <t>Moyenne de Rémunération perçue annuelle</t>
  </si>
  <si>
    <t>Homme</t>
  </si>
  <si>
    <t>Femme</t>
  </si>
  <si>
    <t>Total général</t>
  </si>
  <si>
    <t>Étiquettes de colonnes</t>
  </si>
  <si>
    <t>18-25</t>
  </si>
  <si>
    <t>0-4</t>
  </si>
  <si>
    <t>26-35</t>
  </si>
  <si>
    <t>10-14</t>
  </si>
  <si>
    <t>36-45</t>
  </si>
  <si>
    <t>15-19</t>
  </si>
  <si>
    <t>46-55</t>
  </si>
  <si>
    <t>5-9</t>
  </si>
  <si>
    <r>
      <rPr>
        <sz val="11"/>
        <color rgb="FF333333"/>
        <rFont val="Verdana"/>
        <family val="2"/>
      </rPr>
      <t>Tableaux de bord simplifiés et digitalisés sur</t>
    </r>
    <r>
      <rPr>
        <sz val="11"/>
        <color theme="10"/>
        <rFont val="Verdana"/>
        <family val="2"/>
      </rPr>
      <t xml:space="preserve"> </t>
    </r>
    <r>
      <rPr>
        <u/>
        <sz val="11"/>
        <color rgb="FF79BF9D"/>
        <rFont val="Verdana"/>
        <family val="2"/>
      </rPr>
      <t>https://www.eurecia.com/logiciel-portail-rh</t>
    </r>
  </si>
  <si>
    <r>
      <t xml:space="preserve">Vous cherchez à améliorer votre suivi RH ? Le logiciel RH Eurécia facilite votre quotidien en regroupant l'ensemble des données salariés au sein d'une interface unique vous permettant ainsi de </t>
    </r>
    <r>
      <rPr>
        <b/>
        <i/>
        <sz val="11"/>
        <color theme="4"/>
        <rFont val="Verdana"/>
        <family val="2"/>
      </rPr>
      <t>suivre facilement vos principaux indicateurs RH</t>
    </r>
    <r>
      <rPr>
        <i/>
        <sz val="11"/>
        <color rgb="FF333333"/>
        <rFont val="Verdana"/>
        <family val="2"/>
      </rPr>
      <t xml:space="preserve"> (masse salariale, effectifs, turnover, absentéisme, etc.) </t>
    </r>
  </si>
  <si>
    <t>Pour ajouter de nouvelles données, 
pensez à insérer une ligne depuis le tableau</t>
  </si>
  <si>
    <r>
      <rPr>
        <sz val="24"/>
        <color theme="1"/>
        <rFont val="Georgia"/>
        <family val="1"/>
      </rPr>
      <t xml:space="preserve">Données </t>
    </r>
    <r>
      <rPr>
        <sz val="24"/>
        <color rgb="FF79BF9D"/>
        <rFont val="Georgia"/>
        <family val="1"/>
      </rPr>
      <t>salariés</t>
    </r>
  </si>
  <si>
    <r>
      <t xml:space="preserve">Pensez à actualiser votre tableau de bord afin que vos indicateurs restent toujours à jour. Pour cela allez dans l’onglet « Données » de votre document Excel et cliquez sur </t>
    </r>
    <r>
      <rPr>
        <b/>
        <sz val="14"/>
        <color theme="1"/>
        <rFont val="Verdana"/>
        <family val="2"/>
      </rPr>
      <t>« Actualiser tout »</t>
    </r>
    <r>
      <rPr>
        <sz val="14"/>
        <color theme="1"/>
        <rFont val="Verdana"/>
        <family val="2"/>
      </rPr>
      <t>.</t>
    </r>
  </si>
  <si>
    <r>
      <t xml:space="preserve">Votre entreprise compte plus de 20 salariés ? La gestion de vos tableaux de bord sociaux va vite devenir un cauchemar. Il est temps de passer à une solution automatisée en ligne ! Plus d'informations sur </t>
    </r>
    <r>
      <rPr>
        <i/>
        <u/>
        <sz val="14"/>
        <color rgb="FF486267"/>
        <rFont val="Calibri"/>
        <family val="2"/>
        <scheme val="minor"/>
      </rPr>
      <t>https://www.eurecia.com/logiciel-portail-rh</t>
    </r>
  </si>
  <si>
    <r>
      <rPr>
        <b/>
        <sz val="18"/>
        <color rgb="FFC75741"/>
        <rFont val="Calibri"/>
        <family val="2"/>
        <scheme val="minor"/>
      </rPr>
      <t xml:space="preserve">Vous en avez assez de perdre du temps sur des fichiers Excel ? Simplifiez vos processus avec un </t>
    </r>
    <r>
      <rPr>
        <b/>
        <u/>
        <sz val="18"/>
        <color rgb="FFC75741"/>
        <rFont val="Calibri"/>
        <family val="2"/>
        <scheme val="minor"/>
      </rPr>
      <t>logiciel de gestion RH</t>
    </r>
  </si>
  <si>
    <r>
      <t xml:space="preserve">Tableau de bord </t>
    </r>
    <r>
      <rPr>
        <sz val="26"/>
        <color rgb="FF79BF9D"/>
        <rFont val="Georgia"/>
        <family val="1"/>
      </rPr>
      <t>RH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</si>
</sst>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4" formatCode="#,##0.00\ &quot;€&quot;"/>
  </numFmts>
  <fonts count="4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rgb="FF79BF9D"/>
      <name val="Georgia"/>
      <family val="1"/>
    </font>
    <font>
      <b/>
      <sz val="36"/>
      <color rgb="FF1A9BFC"/>
      <name val="Verdana"/>
      <family val="2"/>
    </font>
    <font>
      <sz val="24"/>
      <color rgb="FF79BF9D"/>
      <name val="Verdana"/>
      <family val="2"/>
    </font>
    <font>
      <sz val="11"/>
      <color theme="1"/>
      <name val="Verdana"/>
      <family val="2"/>
    </font>
    <font>
      <b/>
      <sz val="20"/>
      <color rgb="FF79BF9D"/>
      <name val="Verdana"/>
      <family val="2"/>
    </font>
    <font>
      <b/>
      <sz val="26"/>
      <color rgb="FF333333"/>
      <name val="Verdana"/>
      <family val="2"/>
    </font>
    <font>
      <sz val="11"/>
      <color rgb="FF333333"/>
      <name val="Verdana"/>
      <family val="2"/>
    </font>
    <font>
      <sz val="14"/>
      <color theme="1"/>
      <name val="Verdana"/>
      <family val="2"/>
    </font>
    <font>
      <b/>
      <sz val="14"/>
      <color theme="1"/>
      <name val="Verdana"/>
      <family val="2"/>
    </font>
    <font>
      <b/>
      <sz val="11"/>
      <color theme="1"/>
      <name val="Verdana"/>
      <family val="2"/>
    </font>
    <font>
      <b/>
      <sz val="24"/>
      <color rgb="FF1A9BFC"/>
      <name val="Verdana"/>
      <family val="2"/>
    </font>
    <font>
      <sz val="11"/>
      <color theme="4" tint="-0.499984740745262"/>
      <name val="Verdana"/>
      <family val="2"/>
    </font>
    <font>
      <sz val="11"/>
      <color rgb="FF000000"/>
      <name val="Verdana"/>
      <family val="2"/>
    </font>
    <font>
      <b/>
      <sz val="11"/>
      <color theme="4" tint="-0.499984740745262"/>
      <name val="Verdana"/>
      <family val="2"/>
    </font>
    <font>
      <b/>
      <sz val="11"/>
      <color theme="0"/>
      <name val="Verdana"/>
      <family val="2"/>
    </font>
    <font>
      <i/>
      <sz val="11"/>
      <color theme="1"/>
      <name val="Verdana"/>
      <family val="2"/>
    </font>
    <font>
      <i/>
      <sz val="11"/>
      <color theme="4" tint="-0.499984740745262"/>
      <name val="Verdana"/>
      <family val="2"/>
    </font>
    <font>
      <i/>
      <sz val="11"/>
      <name val="Verdana"/>
      <family val="2"/>
    </font>
    <font>
      <sz val="11"/>
      <color theme="1" tint="0.34998626667073579"/>
      <name val="Verdana"/>
      <family val="2"/>
    </font>
    <font>
      <u/>
      <sz val="11"/>
      <color theme="10"/>
      <name val="Verdana"/>
      <family val="2"/>
    </font>
    <font>
      <b/>
      <i/>
      <sz val="11"/>
      <color rgb="FF333333"/>
      <name val="Verdana"/>
      <family val="2"/>
    </font>
    <font>
      <b/>
      <sz val="28"/>
      <color rgb="FF1A9BFC"/>
      <name val="Verdana"/>
      <family val="2"/>
    </font>
    <font>
      <sz val="12"/>
      <color rgb="FF333333"/>
      <name val="Verdana"/>
      <family val="2"/>
    </font>
    <font>
      <sz val="12"/>
      <color theme="1"/>
      <name val="Verdana"/>
      <family val="2"/>
    </font>
    <font>
      <b/>
      <sz val="12"/>
      <color rgb="FFC75741"/>
      <name val="Verdana"/>
      <family val="2"/>
    </font>
    <font>
      <i/>
      <sz val="11"/>
      <color rgb="FF333333"/>
      <name val="Verdana"/>
      <family val="2"/>
    </font>
    <font>
      <u/>
      <sz val="11"/>
      <color rgb="FF79BF9D"/>
      <name val="Verdana"/>
      <family val="2"/>
    </font>
    <font>
      <sz val="11"/>
      <color theme="10"/>
      <name val="Verdana"/>
      <family val="2"/>
    </font>
    <font>
      <b/>
      <i/>
      <sz val="11"/>
      <color theme="4"/>
      <name val="Verdana"/>
      <family val="2"/>
    </font>
    <font>
      <sz val="24"/>
      <color theme="1"/>
      <name val="Georgia"/>
      <family val="1"/>
    </font>
    <font>
      <i/>
      <sz val="14"/>
      <color rgb="FF486267"/>
      <name val="Calibri"/>
      <family val="2"/>
      <scheme val="minor"/>
    </font>
    <font>
      <i/>
      <u/>
      <sz val="14"/>
      <color rgb="FF486267"/>
      <name val="Calibri"/>
      <family val="2"/>
      <scheme val="minor"/>
    </font>
    <font>
      <b/>
      <u/>
      <sz val="18"/>
      <color rgb="FFC75741"/>
      <name val="Calibri"/>
      <family val="2"/>
      <scheme val="minor"/>
    </font>
    <font>
      <b/>
      <sz val="18"/>
      <color rgb="FFC75741"/>
      <name val="Calibri"/>
      <family val="2"/>
      <scheme val="minor"/>
    </font>
    <font>
      <sz val="26"/>
      <color rgb="FF333333"/>
      <name val="Georgia"/>
      <family val="1"/>
    </font>
    <font>
      <sz val="26"/>
      <color rgb="FF79BF9D"/>
      <name val="Georgia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9BF9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1AE266"/>
      </left>
      <right style="thin">
        <color indexed="64"/>
      </right>
      <top style="thin">
        <color rgb="FF1AE266"/>
      </top>
      <bottom style="thin">
        <color rgb="FF1AE266"/>
      </bottom>
      <diagonal/>
    </border>
    <border>
      <left style="thin">
        <color indexed="64"/>
      </left>
      <right style="thin">
        <color indexed="64"/>
      </right>
      <top style="thin">
        <color rgb="FF1AE266"/>
      </top>
      <bottom style="thin">
        <color rgb="FF1AE266"/>
      </bottom>
      <diagonal/>
    </border>
    <border>
      <left style="thin">
        <color indexed="64"/>
      </left>
      <right style="thin">
        <color rgb="FF1AE266"/>
      </right>
      <top style="thin">
        <color rgb="FF1AE266"/>
      </top>
      <bottom style="thin">
        <color rgb="FF1AE26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1A9BFC"/>
      </top>
      <bottom/>
      <diagonal/>
    </border>
    <border>
      <left/>
      <right style="thin">
        <color rgb="FF1A9BFC"/>
      </right>
      <top style="thin">
        <color rgb="FF1A9BFC"/>
      </top>
      <bottom style="thin">
        <color rgb="FF1A9BFC"/>
      </bottom>
      <diagonal/>
    </border>
    <border>
      <left style="thin">
        <color rgb="FF1A9BFC"/>
      </left>
      <right/>
      <top/>
      <bottom style="thin">
        <color rgb="FF1A9BFC"/>
      </bottom>
      <diagonal/>
    </border>
    <border>
      <left/>
      <right/>
      <top style="thin">
        <color rgb="FF1A9BFC"/>
      </top>
      <bottom style="thin">
        <color rgb="FF1A9BFC"/>
      </bottom>
      <diagonal/>
    </border>
    <border>
      <left style="thin">
        <color rgb="FF1A9BFC"/>
      </left>
      <right/>
      <top/>
      <bottom/>
      <diagonal/>
    </border>
    <border>
      <left style="thin">
        <color rgb="FF1A9BFC"/>
      </left>
      <right/>
      <top style="thin">
        <color rgb="FF1A9BFC"/>
      </top>
      <bottom style="thin">
        <color rgb="FF1A9BFC"/>
      </bottom>
      <diagonal/>
    </border>
    <border>
      <left style="thin">
        <color rgb="FF1A9BFC"/>
      </left>
      <right/>
      <top style="thin">
        <color rgb="FF1A9BFC"/>
      </top>
      <bottom/>
      <diagonal/>
    </border>
    <border>
      <left style="medium">
        <color rgb="FF79BF9D"/>
      </left>
      <right style="thin">
        <color rgb="FF1A9BFC"/>
      </right>
      <top style="medium">
        <color rgb="FF79BF9D"/>
      </top>
      <bottom style="medium">
        <color rgb="FF79BF9D"/>
      </bottom>
      <diagonal/>
    </border>
    <border>
      <left style="thin">
        <color rgb="FF1A9BFC"/>
      </left>
      <right style="thin">
        <color rgb="FF1A9BFC"/>
      </right>
      <top style="medium">
        <color rgb="FF79BF9D"/>
      </top>
      <bottom style="medium">
        <color rgb="FF79BF9D"/>
      </bottom>
      <diagonal/>
    </border>
    <border>
      <left style="thin">
        <color rgb="FF1A9BFC"/>
      </left>
      <right style="medium">
        <color rgb="FF79BF9D"/>
      </right>
      <top style="medium">
        <color rgb="FF79BF9D"/>
      </top>
      <bottom style="medium">
        <color rgb="FF79BF9D"/>
      </bottom>
      <diagonal/>
    </border>
    <border>
      <left style="medium">
        <color rgb="FF79BF9D"/>
      </left>
      <right/>
      <top style="medium">
        <color rgb="FF79BF9D"/>
      </top>
      <bottom/>
      <diagonal/>
    </border>
    <border>
      <left/>
      <right/>
      <top style="medium">
        <color rgb="FF79BF9D"/>
      </top>
      <bottom/>
      <diagonal/>
    </border>
    <border>
      <left/>
      <right style="medium">
        <color rgb="FF79BF9D"/>
      </right>
      <top style="medium">
        <color rgb="FF79BF9D"/>
      </top>
      <bottom/>
      <diagonal/>
    </border>
    <border>
      <left style="medium">
        <color rgb="FF79BF9D"/>
      </left>
      <right/>
      <top/>
      <bottom/>
      <diagonal/>
    </border>
    <border>
      <left/>
      <right style="medium">
        <color rgb="FF79BF9D"/>
      </right>
      <top/>
      <bottom/>
      <diagonal/>
    </border>
    <border>
      <left style="medium">
        <color rgb="FF79BF9D"/>
      </left>
      <right/>
      <top/>
      <bottom style="medium">
        <color rgb="FF79BF9D"/>
      </bottom>
      <diagonal/>
    </border>
    <border>
      <left/>
      <right/>
      <top/>
      <bottom style="medium">
        <color rgb="FF79BF9D"/>
      </bottom>
      <diagonal/>
    </border>
    <border>
      <left/>
      <right style="medium">
        <color rgb="FF79BF9D"/>
      </right>
      <top/>
      <bottom style="medium">
        <color rgb="FF79BF9D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82"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7" fillId="0" borderId="0" xfId="0" applyFont="1"/>
    <xf numFmtId="0" fontId="7" fillId="2" borderId="0" xfId="0" applyFont="1" applyFill="1"/>
    <xf numFmtId="0" fontId="7" fillId="2" borderId="18" xfId="0" applyFont="1" applyFill="1" applyBorder="1"/>
    <xf numFmtId="0" fontId="7" fillId="2" borderId="19" xfId="0" applyFont="1" applyFill="1" applyBorder="1"/>
    <xf numFmtId="0" fontId="7" fillId="2" borderId="20" xfId="0" applyFont="1" applyFill="1" applyBorder="1"/>
    <xf numFmtId="0" fontId="7" fillId="2" borderId="21" xfId="0" applyFont="1" applyFill="1" applyBorder="1"/>
    <xf numFmtId="0" fontId="9" fillId="2" borderId="0" xfId="0" applyFont="1" applyFill="1" applyAlignment="1">
      <alignment horizontal="center"/>
    </xf>
    <xf numFmtId="0" fontId="10" fillId="2" borderId="0" xfId="0" applyFont="1" applyFill="1"/>
    <xf numFmtId="0" fontId="7" fillId="2" borderId="22" xfId="0" applyFont="1" applyFill="1" applyBorder="1"/>
    <xf numFmtId="0" fontId="7" fillId="2" borderId="23" xfId="0" applyFont="1" applyFill="1" applyBorder="1"/>
    <xf numFmtId="0" fontId="7" fillId="2" borderId="24" xfId="0" applyFont="1" applyFill="1" applyBorder="1"/>
    <xf numFmtId="0" fontId="11" fillId="2" borderId="24" xfId="0" applyFont="1" applyFill="1" applyBorder="1" applyAlignment="1">
      <alignment horizontal="center" vertical="center"/>
    </xf>
    <xf numFmtId="0" fontId="7" fillId="2" borderId="25" xfId="0" applyFont="1" applyFill="1" applyBorder="1"/>
    <xf numFmtId="0" fontId="7" fillId="0" borderId="0" xfId="0" pivotButton="1" applyFont="1"/>
    <xf numFmtId="0" fontId="7" fillId="0" borderId="0" xfId="0" applyFont="1" applyAlignment="1">
      <alignment horizontal="left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17" fillId="2" borderId="0" xfId="0" applyFont="1" applyFill="1"/>
    <xf numFmtId="0" fontId="18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9" fillId="2" borderId="0" xfId="0" applyFont="1" applyFill="1"/>
    <xf numFmtId="2" fontId="20" fillId="2" borderId="2" xfId="0" applyNumberFormat="1" applyFont="1" applyFill="1" applyBorder="1"/>
    <xf numFmtId="0" fontId="19" fillId="2" borderId="1" xfId="0" applyFont="1" applyFill="1" applyBorder="1"/>
    <xf numFmtId="14" fontId="19" fillId="2" borderId="1" xfId="0" applyNumberFormat="1" applyFont="1" applyFill="1" applyBorder="1"/>
    <xf numFmtId="0" fontId="19" fillId="3" borderId="1" xfId="0" applyFont="1" applyFill="1" applyBorder="1"/>
    <xf numFmtId="2" fontId="19" fillId="2" borderId="1" xfId="0" applyNumberFormat="1" applyFont="1" applyFill="1" applyBorder="1"/>
    <xf numFmtId="0" fontId="21" fillId="0" borderId="1" xfId="0" applyFont="1" applyBorder="1"/>
    <xf numFmtId="164" fontId="19" fillId="2" borderId="1" xfId="0" applyNumberFormat="1" applyFont="1" applyFill="1" applyBorder="1"/>
    <xf numFmtId="2" fontId="20" fillId="2" borderId="1" xfId="0" applyNumberFormat="1" applyFont="1" applyFill="1" applyBorder="1"/>
    <xf numFmtId="2" fontId="17" fillId="2" borderId="2" xfId="0" applyNumberFormat="1" applyFont="1" applyFill="1" applyBorder="1"/>
    <xf numFmtId="0" fontId="7" fillId="2" borderId="1" xfId="0" applyFont="1" applyFill="1" applyBorder="1"/>
    <xf numFmtId="164" fontId="7" fillId="2" borderId="1" xfId="0" applyNumberFormat="1" applyFont="1" applyFill="1" applyBorder="1"/>
    <xf numFmtId="2" fontId="17" fillId="2" borderId="6" xfId="0" applyNumberFormat="1" applyFont="1" applyFill="1" applyBorder="1"/>
    <xf numFmtId="0" fontId="7" fillId="2" borderId="7" xfId="0" applyFont="1" applyFill="1" applyBorder="1"/>
    <xf numFmtId="164" fontId="7" fillId="2" borderId="7" xfId="0" applyNumberFormat="1" applyFont="1" applyFill="1" applyBorder="1"/>
    <xf numFmtId="2" fontId="17" fillId="2" borderId="1" xfId="0" applyNumberFormat="1" applyFont="1" applyFill="1" applyBorder="1"/>
    <xf numFmtId="16" fontId="7" fillId="2" borderId="1" xfId="0" applyNumberFormat="1" applyFont="1" applyFill="1" applyBorder="1"/>
    <xf numFmtId="14" fontId="7" fillId="2" borderId="1" xfId="0" applyNumberFormat="1" applyFont="1" applyFill="1" applyBorder="1"/>
    <xf numFmtId="0" fontId="22" fillId="2" borderId="0" xfId="0" applyFont="1" applyFill="1"/>
    <xf numFmtId="0" fontId="18" fillId="4" borderId="0" xfId="0" applyFont="1" applyFill="1"/>
    <xf numFmtId="0" fontId="19" fillId="0" borderId="10" xfId="0" applyFont="1" applyBorder="1"/>
    <xf numFmtId="0" fontId="19" fillId="0" borderId="0" xfId="0" applyFont="1"/>
    <xf numFmtId="0" fontId="19" fillId="0" borderId="9" xfId="0" applyFont="1" applyBorder="1"/>
    <xf numFmtId="0" fontId="19" fillId="0" borderId="11" xfId="0" applyFont="1" applyBorder="1"/>
    <xf numFmtId="0" fontId="19" fillId="0" borderId="8" xfId="0" applyFont="1" applyBorder="1"/>
    <xf numFmtId="0" fontId="19" fillId="2" borderId="12" xfId="0" applyFont="1" applyFill="1" applyBorder="1"/>
    <xf numFmtId="0" fontId="19" fillId="0" borderId="13" xfId="0" applyFont="1" applyBorder="1"/>
    <xf numFmtId="0" fontId="19" fillId="0" borderId="14" xfId="0" applyFont="1" applyBorder="1"/>
    <xf numFmtId="0" fontId="10" fillId="2" borderId="0" xfId="0" applyFont="1" applyFill="1" applyAlignment="1">
      <alignment wrapText="1"/>
    </xf>
    <xf numFmtId="0" fontId="25" fillId="2" borderId="0" xfId="0" applyFont="1" applyFill="1" applyAlignment="1">
      <alignment vertical="center" wrapText="1"/>
    </xf>
    <xf numFmtId="0" fontId="7" fillId="2" borderId="0" xfId="0" applyFont="1" applyFill="1" applyAlignment="1">
      <alignment wrapText="1"/>
    </xf>
    <xf numFmtId="0" fontId="26" fillId="2" borderId="0" xfId="0" applyFont="1" applyFill="1" applyAlignment="1">
      <alignment wrapText="1"/>
    </xf>
    <xf numFmtId="0" fontId="27" fillId="2" borderId="0" xfId="0" applyFont="1" applyFill="1" applyAlignment="1">
      <alignment wrapText="1"/>
    </xf>
    <xf numFmtId="0" fontId="28" fillId="2" borderId="0" xfId="0" applyFont="1" applyFill="1" applyAlignment="1">
      <alignment wrapText="1"/>
    </xf>
    <xf numFmtId="49" fontId="10" fillId="2" borderId="0" xfId="0" applyNumberFormat="1" applyFont="1" applyFill="1" applyAlignment="1">
      <alignment wrapText="1"/>
    </xf>
    <xf numFmtId="0" fontId="29" fillId="0" borderId="0" xfId="1" applyFont="1" applyFill="1" applyAlignment="1">
      <alignment wrapText="1"/>
    </xf>
    <xf numFmtId="0" fontId="11" fillId="0" borderId="0" xfId="0" applyFont="1" applyAlignment="1">
      <alignment vertical="center"/>
    </xf>
    <xf numFmtId="0" fontId="23" fillId="0" borderId="0" xfId="1" applyFont="1" applyFill="1" applyAlignment="1"/>
    <xf numFmtId="0" fontId="8" fillId="2" borderId="19" xfId="0" applyFont="1" applyFill="1" applyBorder="1" applyAlignment="1">
      <alignment horizontal="center"/>
    </xf>
    <xf numFmtId="0" fontId="8" fillId="2" borderId="19" xfId="0" applyFont="1" applyFill="1" applyBorder="1"/>
    <xf numFmtId="0" fontId="38" fillId="2" borderId="0" xfId="0" applyFont="1" applyFill="1" applyAlignment="1">
      <alignment vertical="center"/>
    </xf>
    <xf numFmtId="0" fontId="24" fillId="2" borderId="15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4" fillId="2" borderId="0" xfId="1" applyFont="1" applyFill="1" applyAlignment="1">
      <alignment horizontal="left"/>
    </xf>
    <xf numFmtId="0" fontId="36" fillId="2" borderId="0" xfId="1" applyFont="1" applyFill="1" applyAlignment="1">
      <alignment horizontal="left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44" fontId="9" fillId="2" borderId="0" xfId="2" applyFont="1" applyFill="1" applyBorder="1" applyAlignment="1">
      <alignment horizontal="center"/>
    </xf>
    <xf numFmtId="0" fontId="11" fillId="0" borderId="24" xfId="0" applyFont="1" applyBorder="1" applyAlignment="1">
      <alignment horizontal="center" vertical="center"/>
    </xf>
  </cellXfs>
  <cellStyles count="3">
    <cellStyle name="Lien hypertexte" xfId="1" builtinId="8"/>
    <cellStyle name="Monétaire" xfId="2" builtinId="4"/>
    <cellStyle name="Normal" xfId="0" builtinId="0"/>
  </cellStyles>
  <dxfs count="55"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ont>
        <name val="Verdana"/>
        <family val="2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name val="Figtree"/>
        <scheme val="none"/>
      </font>
    </dxf>
    <dxf>
      <font>
        <strike val="0"/>
        <outline val="0"/>
        <shadow val="0"/>
        <vertAlign val="baseline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fill>
        <patternFill patternType="solid">
          <fgColor indexed="64"/>
          <bgColor rgb="FF79BF9D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fill>
        <patternFill patternType="solid">
          <fgColor indexed="64"/>
          <bgColor rgb="FF79BF9D"/>
        </patternFill>
      </fill>
    </dxf>
  </dxfs>
  <tableStyles count="1" defaultTableStyle="TableStyleMedium2" defaultPivotStyle="PivotStyleLight16">
    <tableStyle name="Invisible" pivot="0" table="0" count="0" xr9:uid="{6AFB584C-38E1-4971-BC51-F4D44A73F3DD}"/>
  </tableStyles>
  <colors>
    <mruColors>
      <color rgb="FF486267"/>
      <color rgb="FFC75741"/>
      <color rgb="FF79BF9D"/>
      <color rgb="FF90C4CE"/>
      <color rgb="FFE6B93F"/>
      <color rgb="FF333333"/>
      <color rgb="FF1A9BFC"/>
      <color rgb="FFF83C66"/>
      <color rgb="FF1AE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[Eurécia - Modèle tableau de bord RH simple.xlsx]Tableau de bord RH!Tableau croisé dynamique12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  <a:cs typeface="+mn-cs"/>
              </a:defRPr>
            </a:pPr>
            <a:r>
              <a:rPr lang="fr-FR" sz="140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</a:rPr>
              <a:t>Répartition des sexes dans l'entreprise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79BF9D"/>
              </a:solidFill>
              <a:latin typeface="Figtree" pitchFamily="2" charset="0"/>
              <a:ea typeface="Roboto" panose="02000000000000000000" pitchFamily="2" charset="0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C7574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7053436464451008"/>
          <c:y val="0.1921453062635915"/>
          <c:w val="0.49076758329571241"/>
          <c:h val="0.6555338213484706"/>
        </c:manualLayout>
      </c:layout>
      <c:doughnutChart>
        <c:varyColors val="1"/>
        <c:ser>
          <c:idx val="0"/>
          <c:order val="0"/>
          <c:tx>
            <c:strRef>
              <c:f>'Tableau de bord RH'!$C$79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83C66"/>
            </a:solidFill>
          </c:spPr>
          <c:dPt>
            <c:idx val="0"/>
            <c:bubble3D val="0"/>
            <c:spPr>
              <a:solidFill>
                <a:srgbClr val="E6B9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BD-41C9-A63A-420D82703657}"/>
              </c:ext>
            </c:extLst>
          </c:dPt>
          <c:dPt>
            <c:idx val="1"/>
            <c:bubble3D val="0"/>
            <c:spPr>
              <a:solidFill>
                <a:srgbClr val="C7574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9BD-41C9-A63A-420D82703657}"/>
              </c:ext>
            </c:extLst>
          </c:dPt>
          <c:dPt>
            <c:idx val="2"/>
            <c:bubble3D val="0"/>
            <c:spPr>
              <a:solidFill>
                <a:srgbClr val="F83C6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4A9-46C8-AAD9-063BA9A5387A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 RH'!$B$80:$B$82</c:f>
              <c:strCache>
                <c:ptCount val="2"/>
                <c:pt idx="0">
                  <c:v>Homme</c:v>
                </c:pt>
                <c:pt idx="1">
                  <c:v>Femme</c:v>
                </c:pt>
              </c:strCache>
            </c:strRef>
          </c:cat>
          <c:val>
            <c:numRef>
              <c:f>'Tableau de bord RH'!$C$80:$C$82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D-41C9-A63A-420D8270365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317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[Eurécia - Modèle tableau de bord RH simple.xlsx]Tableau de bord RH!Tableau croisé dynamique15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  <a:cs typeface="+mn-cs"/>
              </a:defRPr>
            </a:pPr>
            <a:r>
              <a:rPr lang="fr-FR" sz="140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</a:rPr>
              <a:t>Répartition par type de contrat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79BF9D"/>
              </a:solidFill>
              <a:latin typeface="Figtree" pitchFamily="2" charset="0"/>
              <a:ea typeface="Roboto" panose="02000000000000000000" pitchFamily="2" charset="0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rgbClr val="C7574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 RH'!$F$79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83C66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E6B9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13D-4EBC-8CA6-BD39B2425CA6}"/>
              </c:ext>
            </c:extLst>
          </c:dPt>
          <c:dPt>
            <c:idx val="1"/>
            <c:invertIfNegative val="0"/>
            <c:bubble3D val="0"/>
            <c:spPr>
              <a:solidFill>
                <a:srgbClr val="C7574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13D-4EBC-8CA6-BD39B2425CA6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RH'!$E$80:$E$82</c:f>
              <c:strCache>
                <c:ptCount val="2"/>
                <c:pt idx="0">
                  <c:v>CDI</c:v>
                </c:pt>
                <c:pt idx="1">
                  <c:v>CDD</c:v>
                </c:pt>
              </c:strCache>
            </c:strRef>
          </c:cat>
          <c:val>
            <c:numRef>
              <c:f>'Tableau de bord RH'!$F$80:$F$82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13D-4EBC-8CA6-BD39B2425C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41271008"/>
        <c:axId val="1541272256"/>
      </c:barChart>
      <c:catAx>
        <c:axId val="154127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1272256"/>
        <c:crosses val="autoZero"/>
        <c:auto val="1"/>
        <c:lblAlgn val="ctr"/>
        <c:lblOffset val="100"/>
        <c:noMultiLvlLbl val="0"/>
      </c:catAx>
      <c:valAx>
        <c:axId val="1541272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127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noFill/>
    <a:ln w="317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[Eurécia - Modèle tableau de bord RH simple.xlsx]Tableau de bord RH!Tableau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  <a:cs typeface="+mn-cs"/>
              </a:defRPr>
            </a:pPr>
            <a:r>
              <a:rPr lang="fr-FR" sz="140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</a:rPr>
              <a:t>Répartition par département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79BF9D"/>
              </a:solidFill>
              <a:latin typeface="Figtree" pitchFamily="2" charset="0"/>
              <a:ea typeface="Roboto" panose="02000000000000000000" pitchFamily="2" charset="0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rgbClr val="1AE2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rgbClr val="1AE2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rgbClr val="1AE2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rgbClr val="79BF9D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79BF9D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rgbClr val="C7574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486267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90C4CE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 RH'!$C$87:$C$88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79BF9D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79BF9D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912-49ED-B6BE-DAA0A2F8FDB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F912-49ED-B6BE-DAA0A2F8FDB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F912-49ED-B6BE-DAA0A2F8FDB4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RH'!$B$89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'Tableau de bord RH'!$C$89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912-49ED-B6BE-DAA0A2F8FDB4}"/>
            </c:ext>
          </c:extLst>
        </c:ser>
        <c:ser>
          <c:idx val="1"/>
          <c:order val="1"/>
          <c:tx>
            <c:strRef>
              <c:f>'Tableau de bord RH'!$D$87:$D$88</c:f>
              <c:strCache>
                <c:ptCount val="1"/>
                <c:pt idx="0">
                  <c:v>Comptabilité</c:v>
                </c:pt>
              </c:strCache>
            </c:strRef>
          </c:tx>
          <c:spPr>
            <a:solidFill>
              <a:srgbClr val="C7574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RH'!$B$89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'Tableau de bord RH'!$D$89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912-49ED-B6BE-DAA0A2F8FDB4}"/>
            </c:ext>
          </c:extLst>
        </c:ser>
        <c:ser>
          <c:idx val="2"/>
          <c:order val="2"/>
          <c:tx>
            <c:strRef>
              <c:f>'Tableau de bord RH'!$E$87:$E$88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rgbClr val="486267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RH'!$B$89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'Tableau de bord RH'!$E$89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912-49ED-B6BE-DAA0A2F8FDB4}"/>
            </c:ext>
          </c:extLst>
        </c:ser>
        <c:ser>
          <c:idx val="3"/>
          <c:order val="3"/>
          <c:tx>
            <c:strRef>
              <c:f>'Tableau de bord RH'!$F$87:$F$88</c:f>
              <c:strCache>
                <c:ptCount val="1"/>
                <c:pt idx="0">
                  <c:v>RH</c:v>
                </c:pt>
              </c:strCache>
            </c:strRef>
          </c:tx>
          <c:spPr>
            <a:solidFill>
              <a:srgbClr val="E6B93F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RH'!$B$89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'Tableau de bord RH'!$F$89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912-49ED-B6BE-DAA0A2F8FDB4}"/>
            </c:ext>
          </c:extLst>
        </c:ser>
        <c:ser>
          <c:idx val="4"/>
          <c:order val="4"/>
          <c:tx>
            <c:strRef>
              <c:f>'Tableau de bord RH'!$G$87:$G$88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rgbClr val="90C4CE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RH'!$B$89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'Tableau de bord RH'!$G$89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912-49ED-B6BE-DAA0A2F8FD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41271008"/>
        <c:axId val="1541272256"/>
      </c:barChart>
      <c:catAx>
        <c:axId val="154127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1272256"/>
        <c:crosses val="autoZero"/>
        <c:auto val="1"/>
        <c:lblAlgn val="ctr"/>
        <c:lblOffset val="100"/>
        <c:noMultiLvlLbl val="0"/>
      </c:catAx>
      <c:valAx>
        <c:axId val="1541272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127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noFill/>
    <a:ln w="317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[Eurécia - Modèle tableau de bord RH simple.xlsx]Tableau de bord RH!Tableau croisé dynamique6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  <a:cs typeface="+mn-cs"/>
              </a:defRPr>
            </a:pPr>
            <a:r>
              <a:rPr lang="fr-FR" sz="140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</a:rPr>
              <a:t>Salaire moyen annuel par sexe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79BF9D"/>
              </a:solidFill>
              <a:latin typeface="Figtree" pitchFamily="2" charset="0"/>
              <a:ea typeface="Roboto" panose="02000000000000000000" pitchFamily="2" charset="0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rgbClr val="C7574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 RH'!$K$86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83C66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E6B9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877A-41F8-A145-B27FE5E969E7}"/>
              </c:ext>
            </c:extLst>
          </c:dPt>
          <c:dPt>
            <c:idx val="1"/>
            <c:invertIfNegative val="0"/>
            <c:bubble3D val="0"/>
            <c:spPr>
              <a:solidFill>
                <a:srgbClr val="C7574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877A-41F8-A145-B27FE5E969E7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RH'!$J$87:$J$89</c:f>
              <c:strCache>
                <c:ptCount val="2"/>
                <c:pt idx="0">
                  <c:v>Homme</c:v>
                </c:pt>
                <c:pt idx="1">
                  <c:v>Femme</c:v>
                </c:pt>
              </c:strCache>
            </c:strRef>
          </c:cat>
          <c:val>
            <c:numRef>
              <c:f>'Tableau de bord RH'!$K$87:$K$89</c:f>
              <c:numCache>
                <c:formatCode>General</c:formatCode>
                <c:ptCount val="2"/>
                <c:pt idx="0">
                  <c:v>32800</c:v>
                </c:pt>
                <c:pt idx="1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77A-41F8-A145-B27FE5E969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41271008"/>
        <c:axId val="1541272256"/>
      </c:barChart>
      <c:catAx>
        <c:axId val="154127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1272256"/>
        <c:crosses val="autoZero"/>
        <c:auto val="1"/>
        <c:lblAlgn val="ctr"/>
        <c:lblOffset val="100"/>
        <c:noMultiLvlLbl val="0"/>
      </c:catAx>
      <c:valAx>
        <c:axId val="1541272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127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noFill/>
    <a:ln w="317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[Eurécia - Modèle tableau de bord RH simple.xlsx]Tableau de bord RH!Tableau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  <a:cs typeface="+mn-cs"/>
              </a:defRPr>
            </a:pPr>
            <a:r>
              <a:rPr lang="fr-FR" sz="140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</a:rPr>
              <a:t>Répartition par statut professionnel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79BF9D"/>
              </a:solidFill>
              <a:latin typeface="Figtree" pitchFamily="2" charset="0"/>
              <a:ea typeface="Roboto" panose="02000000000000000000" pitchFamily="2" charset="0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rgbClr val="C7574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rgbClr val="486267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557716659352212"/>
          <c:y val="0.13513494333083609"/>
          <c:w val="0.50446997205597754"/>
          <c:h val="0.66821324588480546"/>
        </c:manualLayout>
      </c:layout>
      <c:doughnutChart>
        <c:varyColors val="1"/>
        <c:ser>
          <c:idx val="0"/>
          <c:order val="0"/>
          <c:tx>
            <c:strRef>
              <c:f>'Tableau de bord RH'!$I$79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83C66"/>
            </a:solidFill>
          </c:spPr>
          <c:dPt>
            <c:idx val="0"/>
            <c:bubble3D val="0"/>
            <c:spPr>
              <a:solidFill>
                <a:srgbClr val="E6B9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A01-4858-83BC-F17A776C79E8}"/>
              </c:ext>
            </c:extLst>
          </c:dPt>
          <c:dPt>
            <c:idx val="1"/>
            <c:bubble3D val="0"/>
            <c:spPr>
              <a:solidFill>
                <a:srgbClr val="C7574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A01-4858-83BC-F17A776C79E8}"/>
              </c:ext>
            </c:extLst>
          </c:dPt>
          <c:dPt>
            <c:idx val="2"/>
            <c:bubble3D val="0"/>
            <c:spPr>
              <a:solidFill>
                <a:srgbClr val="486267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4A01-4858-83BC-F17A776C79E8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 RH'!$H$80:$H$83</c:f>
              <c:strCache>
                <c:ptCount val="3"/>
                <c:pt idx="0">
                  <c:v>Cadre</c:v>
                </c:pt>
                <c:pt idx="1">
                  <c:v>Employé</c:v>
                </c:pt>
                <c:pt idx="2">
                  <c:v>Ouvrier</c:v>
                </c:pt>
              </c:strCache>
            </c:strRef>
          </c:cat>
          <c:val>
            <c:numRef>
              <c:f>'Tableau de bord RH'!$I$80:$I$83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A01-4858-83BC-F17A776C79E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noFill/>
    <a:ln w="317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[Eurécia - Modèle tableau de bord RH simple.xlsx]Tableau de bord RH!Tableau croisé dynamique7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  <a:cs typeface="+mn-cs"/>
              </a:defRPr>
            </a:pPr>
            <a:r>
              <a:rPr lang="fr-FR" sz="140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</a:rPr>
              <a:t>Salaire moyen annuel par </a:t>
            </a:r>
            <a:r>
              <a:rPr lang="fr-FR" sz="1400" b="1" i="0" u="none" strike="noStrike" baseline="0">
                <a:solidFill>
                  <a:srgbClr val="79BF9D"/>
                </a:solidFill>
                <a:effectLst/>
                <a:latin typeface="Figtree" pitchFamily="2" charset="0"/>
              </a:rPr>
              <a:t>statut professionnel</a:t>
            </a:r>
            <a:endParaRPr lang="fr-FR" sz="1400">
              <a:solidFill>
                <a:srgbClr val="79BF9D"/>
              </a:solidFill>
              <a:latin typeface="Figtree" pitchFamily="2" charset="0"/>
              <a:ea typeface="Roboto" panose="0200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79BF9D"/>
              </a:solidFill>
              <a:latin typeface="Figtree" pitchFamily="2" charset="0"/>
              <a:ea typeface="Roboto" panose="02000000000000000000" pitchFamily="2" charset="0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rgbClr val="C7574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rgbClr val="486267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 RH'!$M$79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83C66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E6B9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8E9D-44D4-8AE6-3D34D668AF2F}"/>
              </c:ext>
            </c:extLst>
          </c:dPt>
          <c:dPt>
            <c:idx val="1"/>
            <c:invertIfNegative val="0"/>
            <c:bubble3D val="0"/>
            <c:spPr>
              <a:solidFill>
                <a:srgbClr val="C7574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E9D-44D4-8AE6-3D34D668AF2F}"/>
              </c:ext>
            </c:extLst>
          </c:dPt>
          <c:dPt>
            <c:idx val="2"/>
            <c:invertIfNegative val="0"/>
            <c:bubble3D val="0"/>
            <c:spPr>
              <a:solidFill>
                <a:srgbClr val="486267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E9D-44D4-8AE6-3D34D668AF2F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RH'!$L$80:$L$83</c:f>
              <c:strCache>
                <c:ptCount val="3"/>
                <c:pt idx="0">
                  <c:v>Cadre</c:v>
                </c:pt>
                <c:pt idx="1">
                  <c:v>Employé</c:v>
                </c:pt>
                <c:pt idx="2">
                  <c:v>Ouvrier</c:v>
                </c:pt>
              </c:strCache>
            </c:strRef>
          </c:cat>
          <c:val>
            <c:numRef>
              <c:f>'Tableau de bord RH'!$M$80:$M$83</c:f>
              <c:numCache>
                <c:formatCode>General</c:formatCode>
                <c:ptCount val="3"/>
                <c:pt idx="0">
                  <c:v>53000</c:v>
                </c:pt>
                <c:pt idx="1">
                  <c:v>27000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9D-44D4-8AE6-3D34D668AF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41271008"/>
        <c:axId val="1541272256"/>
      </c:barChart>
      <c:catAx>
        <c:axId val="154127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1272256"/>
        <c:crosses val="autoZero"/>
        <c:auto val="1"/>
        <c:lblAlgn val="ctr"/>
        <c:lblOffset val="100"/>
        <c:noMultiLvlLbl val="0"/>
      </c:catAx>
      <c:valAx>
        <c:axId val="1541272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127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noFill/>
    <a:ln w="317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[Eurécia - Modèle tableau de bord RH simple.xlsx]Tableau de bord RH!Tableau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  <a:cs typeface="+mn-cs"/>
              </a:defRPr>
            </a:pPr>
            <a:r>
              <a:rPr lang="fr-FR" sz="140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</a:rPr>
              <a:t>Répartition des genres</a:t>
            </a:r>
            <a:r>
              <a:rPr lang="fr-FR" sz="1400" baseline="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</a:rPr>
              <a:t> par tranches d'âges</a:t>
            </a:r>
            <a:endParaRPr lang="fr-FR" sz="1400">
              <a:solidFill>
                <a:srgbClr val="79BF9D"/>
              </a:solidFill>
              <a:latin typeface="Figtree" pitchFamily="2" charset="0"/>
              <a:ea typeface="Roboto" panose="02000000000000000000" pitchFamily="2" charset="0"/>
            </a:endParaRPr>
          </a:p>
        </c:rich>
      </c:tx>
      <c:layout>
        <c:manualLayout>
          <c:xMode val="edge"/>
          <c:yMode val="edge"/>
          <c:x val="0.1827318262601573"/>
          <c:y val="5.0121159441352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79BF9D"/>
              </a:solidFill>
              <a:latin typeface="Figtree" pitchFamily="2" charset="0"/>
              <a:ea typeface="Roboto" panose="02000000000000000000" pitchFamily="2" charset="0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rgbClr val="C7574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31814804930648"/>
          <c:y val="0.2870330081492245"/>
          <c:w val="0.51454479130727537"/>
          <c:h val="0.73598365777064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'Tableau de bord RH'!$C$96:$C$97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rgbClr val="E6B93F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E6B9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2AF-4D7E-AFB0-EFCA0D30A02C}"/>
              </c:ext>
            </c:extLst>
          </c:dPt>
          <c:dPt>
            <c:idx val="1"/>
            <c:invertIfNegative val="0"/>
            <c:bubble3D val="0"/>
            <c:spPr>
              <a:solidFill>
                <a:srgbClr val="E6B9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22AF-4D7E-AFB0-EFCA0D30A02C}"/>
              </c:ext>
            </c:extLst>
          </c:dPt>
          <c:dPt>
            <c:idx val="2"/>
            <c:invertIfNegative val="0"/>
            <c:bubble3D val="0"/>
            <c:spPr>
              <a:solidFill>
                <a:srgbClr val="E6B9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22AF-4D7E-AFB0-EFCA0D30A02C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RH'!$B$98:$B$102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</c:strCache>
            </c:strRef>
          </c:cat>
          <c:val>
            <c:numRef>
              <c:f>'Tableau de bord RH'!$C$98:$C$102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2AF-4D7E-AFB0-EFCA0D30A02C}"/>
            </c:ext>
          </c:extLst>
        </c:ser>
        <c:ser>
          <c:idx val="1"/>
          <c:order val="1"/>
          <c:tx>
            <c:strRef>
              <c:f>'Tableau de bord RH'!$D$96:$D$97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rgbClr val="C7574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RH'!$B$98:$B$102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</c:strCache>
            </c:strRef>
          </c:cat>
          <c:val>
            <c:numRef>
              <c:f>'Tableau de bord RH'!$D$98:$D$102</c:f>
              <c:numCache>
                <c:formatCode>General</c:formatCode>
                <c:ptCount val="4"/>
                <c:pt idx="0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2AF-4D7E-AFB0-EFCA0D30A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89475440"/>
        <c:axId val="1989475856"/>
      </c:barChart>
      <c:catAx>
        <c:axId val="198947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9475856"/>
        <c:crosses val="autoZero"/>
        <c:auto val="1"/>
        <c:lblAlgn val="ctr"/>
        <c:lblOffset val="100"/>
        <c:noMultiLvlLbl val="0"/>
      </c:catAx>
      <c:valAx>
        <c:axId val="1989475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947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472716875229121"/>
          <c:y val="0.486117776476577"/>
          <c:w val="9.1710748518161578E-2"/>
          <c:h val="0.16420605102088434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noFill/>
    <a:ln w="317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[Eurécia - Modèle tableau de bord RH simple.xlsx]Tableau de bord RH!Tableau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1AE266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fr-FR" sz="1400">
                <a:solidFill>
                  <a:srgbClr val="79BF9D"/>
                </a:solidFill>
                <a:latin typeface="Figtree" pitchFamily="2" charset="0"/>
                <a:ea typeface="Roboto" panose="02000000000000000000" pitchFamily="2" charset="0"/>
              </a:rPr>
              <a:t>Répartition</a:t>
            </a:r>
            <a:r>
              <a:rPr lang="fr-FR" sz="1400">
                <a:solidFill>
                  <a:srgbClr val="79BF9D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 des genres par ancienneté</a:t>
            </a:r>
          </a:p>
        </c:rich>
      </c:tx>
      <c:layout>
        <c:manualLayout>
          <c:xMode val="edge"/>
          <c:yMode val="edge"/>
          <c:x val="0.29278195827843267"/>
          <c:y val="5.0101455831998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1AE266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rgbClr val="1A9BF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rgbClr val="F83C6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rgbClr val="E6B9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rgbClr val="C7574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414037547967886E-2"/>
          <c:y val="0.2870330081492245"/>
          <c:w val="0.64621591415917767"/>
          <c:h val="0.73598365777064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'Tableau de bord RH'!$H$96:$H$97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rgbClr val="E6B93F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E6B9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AB08-4CA0-8A86-DC397D18265E}"/>
              </c:ext>
            </c:extLst>
          </c:dPt>
          <c:dPt>
            <c:idx val="1"/>
            <c:invertIfNegative val="0"/>
            <c:bubble3D val="0"/>
            <c:spPr>
              <a:solidFill>
                <a:srgbClr val="E6B9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AB08-4CA0-8A86-DC397D18265E}"/>
              </c:ext>
            </c:extLst>
          </c:dPt>
          <c:dPt>
            <c:idx val="2"/>
            <c:invertIfNegative val="0"/>
            <c:bubble3D val="0"/>
            <c:spPr>
              <a:solidFill>
                <a:srgbClr val="E6B9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AB08-4CA0-8A86-DC397D18265E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RH'!$G$98:$G$102</c:f>
              <c:strCache>
                <c:ptCount val="4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5-9</c:v>
                </c:pt>
              </c:strCache>
            </c:strRef>
          </c:cat>
          <c:val>
            <c:numRef>
              <c:f>'Tableau de bord RH'!$H$98:$H$102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AB08-4CA0-8A86-DC397D18265E}"/>
            </c:ext>
          </c:extLst>
        </c:ser>
        <c:ser>
          <c:idx val="1"/>
          <c:order val="1"/>
          <c:tx>
            <c:strRef>
              <c:f>'Tableau de bord RH'!$I$96:$I$97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rgbClr val="C7574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 RH'!$G$98:$G$102</c:f>
              <c:strCache>
                <c:ptCount val="4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5-9</c:v>
                </c:pt>
              </c:strCache>
            </c:strRef>
          </c:cat>
          <c:val>
            <c:numRef>
              <c:f>'Tableau de bord RH'!$I$98:$I$102</c:f>
              <c:numCache>
                <c:formatCode>General</c:formatCode>
                <c:ptCount val="4"/>
                <c:pt idx="0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AB08-4CA0-8A86-DC397D182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89475440"/>
        <c:axId val="1989475856"/>
      </c:barChart>
      <c:catAx>
        <c:axId val="198947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9475856"/>
        <c:crosses val="autoZero"/>
        <c:auto val="1"/>
        <c:lblAlgn val="ctr"/>
        <c:lblOffset val="100"/>
        <c:noMultiLvlLbl val="0"/>
      </c:catAx>
      <c:valAx>
        <c:axId val="1989475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947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472716875229121"/>
          <c:y val="0.486117776476577"/>
          <c:w val="0.15265115348556985"/>
          <c:h val="0.24685185811705784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noFill/>
    <a:ln w="317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sv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85725</xdr:colOff>
      <xdr:row>10</xdr:row>
      <xdr:rowOff>114300</xdr:rowOff>
    </xdr:from>
    <xdr:to>
      <xdr:col>20</xdr:col>
      <xdr:colOff>140569</xdr:colOff>
      <xdr:row>14</xdr:row>
      <xdr:rowOff>59028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2C725BF-4942-417A-BB1F-9C2C291FF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3448050"/>
          <a:ext cx="826369" cy="1037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19050</xdr:rowOff>
    </xdr:from>
    <xdr:to>
      <xdr:col>1</xdr:col>
      <xdr:colOff>2185924</xdr:colOff>
      <xdr:row>1</xdr:row>
      <xdr:rowOff>42750</xdr:rowOff>
    </xdr:to>
    <xdr:pic>
      <xdr:nvPicPr>
        <xdr:cNvPr id="6" name="Image 2">
          <a:extLst>
            <a:ext uri="{FF2B5EF4-FFF2-40B4-BE49-F238E27FC236}">
              <a16:creationId xmlns:a16="http://schemas.microsoft.com/office/drawing/2014/main" id="{EDC85896-0633-49A7-8D59-B399034D2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 bwMode="auto">
        <a:xfrm>
          <a:off x="0" y="19050"/>
          <a:ext cx="2433574" cy="90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2095500</xdr:colOff>
      <xdr:row>0</xdr:row>
      <xdr:rowOff>247650</xdr:rowOff>
    </xdr:from>
    <xdr:to>
      <xdr:col>1</xdr:col>
      <xdr:colOff>6981825</xdr:colOff>
      <xdr:row>0</xdr:row>
      <xdr:rowOff>666750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9DC5056E-888D-0D5A-2620-DE44FBE8E6F0}"/>
            </a:ext>
          </a:extLst>
        </xdr:cNvPr>
        <xdr:cNvSpPr txBox="1"/>
      </xdr:nvSpPr>
      <xdr:spPr>
        <a:xfrm>
          <a:off x="2343150" y="247650"/>
          <a:ext cx="4886325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400" b="0" i="0" u="none" strike="noStrike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Tableau de bord </a:t>
          </a:r>
          <a:r>
            <a:rPr lang="fr-FR" sz="2400" b="0" i="0" u="none" strike="noStrike">
              <a:solidFill>
                <a:schemeClr val="accent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RH</a:t>
          </a:r>
          <a:r>
            <a:rPr lang="fr-FR" sz="2400">
              <a:latin typeface="Georgia" panose="02040502050405020303" pitchFamily="18" charset="0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2191639</xdr:colOff>
      <xdr:row>0</xdr:row>
      <xdr:rowOff>894285</xdr:rowOff>
    </xdr:to>
    <xdr:pic>
      <xdr:nvPicPr>
        <xdr:cNvPr id="6" name="Image 2">
          <a:extLst>
            <a:ext uri="{FF2B5EF4-FFF2-40B4-BE49-F238E27FC236}">
              <a16:creationId xmlns:a16="http://schemas.microsoft.com/office/drawing/2014/main" id="{8500769E-9248-4EE7-AAEA-370A9A5F5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9525" y="9525"/>
          <a:ext cx="2433574" cy="90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777569</xdr:colOff>
      <xdr:row>6</xdr:row>
      <xdr:rowOff>60026</xdr:rowOff>
    </xdr:from>
    <xdr:to>
      <xdr:col>7</xdr:col>
      <xdr:colOff>197069</xdr:colOff>
      <xdr:row>24</xdr:row>
      <xdr:rowOff>20223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DD76BCD-4E7B-413E-BAB5-BC0BB2AE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513407</xdr:colOff>
      <xdr:row>6</xdr:row>
      <xdr:rowOff>55495</xdr:rowOff>
    </xdr:from>
    <xdr:to>
      <xdr:col>4</xdr:col>
      <xdr:colOff>394138</xdr:colOff>
      <xdr:row>24</xdr:row>
      <xdr:rowOff>51172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725BE73-2A4A-4CCC-BC48-D528CF057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635798</xdr:colOff>
      <xdr:row>25</xdr:row>
      <xdr:rowOff>143780</xdr:rowOff>
    </xdr:from>
    <xdr:to>
      <xdr:col>11</xdr:col>
      <xdr:colOff>1020094</xdr:colOff>
      <xdr:row>44</xdr:row>
      <xdr:rowOff>92819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83ABDE2-476C-4608-B24F-7D7F8DE83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609013</xdr:colOff>
      <xdr:row>6</xdr:row>
      <xdr:rowOff>62286</xdr:rowOff>
    </xdr:from>
    <xdr:to>
      <xdr:col>11</xdr:col>
      <xdr:colOff>919654</xdr:colOff>
      <xdr:row>24</xdr:row>
      <xdr:rowOff>5695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C7BB0E0-C8B1-4593-8AEF-342875283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522709</xdr:colOff>
      <xdr:row>25</xdr:row>
      <xdr:rowOff>111149</xdr:rowOff>
    </xdr:from>
    <xdr:to>
      <xdr:col>4</xdr:col>
      <xdr:colOff>430793</xdr:colOff>
      <xdr:row>43</xdr:row>
      <xdr:rowOff>100427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B0159D0-4D9C-44D2-8B49-0C627A46D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746631</xdr:colOff>
      <xdr:row>25</xdr:row>
      <xdr:rowOff>83064</xdr:rowOff>
    </xdr:from>
    <xdr:to>
      <xdr:col>7</xdr:col>
      <xdr:colOff>250147</xdr:colOff>
      <xdr:row>43</xdr:row>
      <xdr:rowOff>147801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AE50EF08-4FAB-496C-8A28-CD3EEC7AA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1087691</xdr:colOff>
      <xdr:row>46</xdr:row>
      <xdr:rowOff>7457</xdr:rowOff>
    </xdr:from>
    <xdr:to>
      <xdr:col>11</xdr:col>
      <xdr:colOff>1047226</xdr:colOff>
      <xdr:row>63</xdr:row>
      <xdr:rowOff>177558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FEF40E3-FF66-4045-B493-B66B7C50F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488241</xdr:colOff>
      <xdr:row>46</xdr:row>
      <xdr:rowOff>63469</xdr:rowOff>
    </xdr:from>
    <xdr:to>
      <xdr:col>6</xdr:col>
      <xdr:colOff>771853</xdr:colOff>
      <xdr:row>63</xdr:row>
      <xdr:rowOff>117976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936A5F-6077-45B0-9838-A4C7DB7E3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0</xdr:row>
      <xdr:rowOff>11206</xdr:rowOff>
    </xdr:from>
    <xdr:to>
      <xdr:col>3</xdr:col>
      <xdr:colOff>30921</xdr:colOff>
      <xdr:row>1</xdr:row>
      <xdr:rowOff>18321</xdr:rowOff>
    </xdr:to>
    <xdr:pic>
      <xdr:nvPicPr>
        <xdr:cNvPr id="17" name="Image 2">
          <a:extLst>
            <a:ext uri="{FF2B5EF4-FFF2-40B4-BE49-F238E27FC236}">
              <a16:creationId xmlns:a16="http://schemas.microsoft.com/office/drawing/2014/main" id="{F9E1B946-3870-4A91-A80D-F60D6472C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 bwMode="auto">
        <a:xfrm>
          <a:off x="0" y="11206"/>
          <a:ext cx="2433574" cy="90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ane LEROUX" refreshedDate="44274.408078819448" createdVersion="6" refreshedVersion="6" minRefreshableVersion="3" recordCount="20" xr:uid="{891E1CF6-0348-42A3-853A-0899D1D9FC3F}">
  <cacheSource type="worksheet">
    <worksheetSource ref="B7:R27" sheet="Données salariés"/>
  </cacheSource>
  <cacheFields count="17">
    <cacheField name="Nom Prénom" numFmtId="0">
      <sharedItems containsBlank="1"/>
    </cacheField>
    <cacheField name="Sexe" numFmtId="0">
      <sharedItems containsString="0" containsBlank="1" containsNumber="1" containsInteger="1" minValue="1" maxValue="2" count="3">
        <n v="2"/>
        <n v="1"/>
        <m/>
      </sharedItems>
    </cacheField>
    <cacheField name="Date de naissance" numFmtId="0">
      <sharedItems containsNonDate="0" containsDate="1" containsString="0" containsBlank="1" minDate="1968-02-18T00:00:00" maxDate="2000-02-26T00:00:00"/>
    </cacheField>
    <cacheField name="Age" numFmtId="0">
      <sharedItems containsMixedTypes="1" containsNumber="1" containsInteger="1" minValue="21" maxValue="53"/>
    </cacheField>
    <cacheField name="Tranche d'âge" numFmtId="2">
      <sharedItems count="5">
        <s v="46-55"/>
        <s v="36-45"/>
        <s v="18-25"/>
        <s v="26-35"/>
        <s v=""/>
      </sharedItems>
    </cacheField>
    <cacheField name="Date d'embauche" numFmtId="0">
      <sharedItems containsNonDate="0" containsDate="1" containsString="0" containsBlank="1" minDate="2002-12-12T00:00:00" maxDate="2021-02-03T00:00:00"/>
    </cacheField>
    <cacheField name="Ancienneté" numFmtId="0">
      <sharedItems containsMixedTypes="1" containsNumber="1" containsInteger="1" minValue="0" maxValue="18"/>
    </cacheField>
    <cacheField name="Tranche d'ancienneté" numFmtId="0">
      <sharedItems count="6">
        <s v="5-9"/>
        <s v="10-14"/>
        <s v="0-4"/>
        <s v="15-19"/>
        <s v=""/>
        <s v="20-24" u="1"/>
      </sharedItems>
    </cacheField>
    <cacheField name="Date de sortie" numFmtId="0">
      <sharedItems containsNonDate="0" containsString="0" containsBlank="1"/>
    </cacheField>
    <cacheField name="Motif de sortie " numFmtId="0">
      <sharedItems containsNonDate="0" containsString="0" containsBlank="1"/>
    </cacheField>
    <cacheField name="Type de contrat" numFmtId="0">
      <sharedItems containsBlank="1"/>
    </cacheField>
    <cacheField name="Statut professionnel" numFmtId="0">
      <sharedItems containsBlank="1"/>
    </cacheField>
    <cacheField name="Département" numFmtId="0">
      <sharedItems containsBlank="1"/>
    </cacheField>
    <cacheField name="Métier" numFmtId="0">
      <sharedItems containsBlank="1"/>
    </cacheField>
    <cacheField name="Rémunération perçue annuelle" numFmtId="0">
      <sharedItems containsString="0" containsBlank="1" containsNumber="1" containsInteger="1" minValue="20000" maxValue="60000"/>
    </cacheField>
    <cacheField name="Autre critère 1" numFmtId="0">
      <sharedItems containsNonDate="0" containsString="0" containsBlank="1"/>
    </cacheField>
    <cacheField name="Autre critère 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ane LEROUX" refreshedDate="44274.408079166664" createdVersion="6" refreshedVersion="6" minRefreshableVersion="3" recordCount="14" xr:uid="{F2E3A576-35FE-47EB-95D1-C1400B613AFA}">
  <cacheSource type="worksheet">
    <worksheetSource ref="B7:R21" sheet="Données salariés"/>
  </cacheSource>
  <cacheFields count="17">
    <cacheField name="Nom Prénom" numFmtId="2">
      <sharedItems containsBlank="1"/>
    </cacheField>
    <cacheField name="Sexe" numFmtId="0">
      <sharedItems containsString="0" containsBlank="1" containsNumber="1" containsInteger="1" minValue="1" maxValue="2" count="3">
        <n v="2"/>
        <n v="1"/>
        <m/>
      </sharedItems>
    </cacheField>
    <cacheField name="Date de naissance" numFmtId="0">
      <sharedItems containsNonDate="0" containsDate="1" containsString="0" containsBlank="1" minDate="1968-02-18T00:00:00" maxDate="2000-02-26T00:00:00"/>
    </cacheField>
    <cacheField name="Age" numFmtId="0">
      <sharedItems containsMixedTypes="1" containsNumber="1" containsInteger="1" minValue="21" maxValue="53"/>
    </cacheField>
    <cacheField name="Tranche d'âge" numFmtId="2">
      <sharedItems/>
    </cacheField>
    <cacheField name="Date d'embauche" numFmtId="0">
      <sharedItems containsNonDate="0" containsDate="1" containsString="0" containsBlank="1" minDate="2002-12-12T00:00:00" maxDate="2021-02-03T00:00:00"/>
    </cacheField>
    <cacheField name="Ancienneté" numFmtId="0">
      <sharedItems containsMixedTypes="1" containsNumber="1" containsInteger="1" minValue="0" maxValue="18"/>
    </cacheField>
    <cacheField name="Tranche d'ancienneté" numFmtId="0">
      <sharedItems/>
    </cacheField>
    <cacheField name="Date de sortie" numFmtId="0">
      <sharedItems containsNonDate="0" containsString="0" containsBlank="1"/>
    </cacheField>
    <cacheField name="Motif de sortie " numFmtId="0">
      <sharedItems containsNonDate="0" containsString="0" containsBlank="1"/>
    </cacheField>
    <cacheField name="Type de contrat" numFmtId="0">
      <sharedItems containsBlank="1" count="5">
        <s v="CDI"/>
        <s v="CDD"/>
        <m/>
        <s v="Interim" u="1"/>
        <s v="Stage" u="1"/>
      </sharedItems>
    </cacheField>
    <cacheField name="Statut professionnel" numFmtId="0">
      <sharedItems containsBlank="1" count="4">
        <s v="Cadre"/>
        <s v="Employé"/>
        <s v="Ouvrier"/>
        <m/>
      </sharedItems>
    </cacheField>
    <cacheField name="Département" numFmtId="0">
      <sharedItems containsBlank="1" count="6">
        <s v="Comptabilité"/>
        <s v="Commercial"/>
        <s v="R&amp;D"/>
        <s v="RH"/>
        <s v="Marketing"/>
        <m/>
      </sharedItems>
    </cacheField>
    <cacheField name="Métier" numFmtId="0">
      <sharedItems containsBlank="1"/>
    </cacheField>
    <cacheField name="Rémunération perçue annuelle" numFmtId="164">
      <sharedItems containsString="0" containsBlank="1" containsNumber="1" containsInteger="1" minValue="20000" maxValue="60000"/>
    </cacheField>
    <cacheField name="Autre critère 1" numFmtId="0">
      <sharedItems containsNonDate="0" containsString="0" containsBlank="1"/>
    </cacheField>
    <cacheField name="Autre critère 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Nathalie Dupont"/>
    <x v="0"/>
    <d v="1968-02-18T00:00:00"/>
    <n v="53"/>
    <x v="0"/>
    <d v="2012-03-07T00:00:00"/>
    <n v="9"/>
    <x v="0"/>
    <m/>
    <m/>
    <s v="CDI"/>
    <s v="Cadre"/>
    <s v="Comptabilité"/>
    <s v="Experte comptable"/>
    <n v="54000"/>
    <m/>
    <m/>
  </r>
  <r>
    <s v="Paul Durand"/>
    <x v="1"/>
    <d v="1982-09-20T00:00:00"/>
    <n v="38"/>
    <x v="1"/>
    <d v="2010-04-02T00:00:00"/>
    <n v="10"/>
    <x v="1"/>
    <m/>
    <m/>
    <s v="CDI"/>
    <s v="Employé"/>
    <s v="Commercial"/>
    <s v="Vendeur"/>
    <n v="30000"/>
    <m/>
    <m/>
  </r>
  <r>
    <s v="Jules Petit"/>
    <x v="1"/>
    <d v="2000-01-20T00:00:00"/>
    <n v="21"/>
    <x v="2"/>
    <d v="2020-02-01T00:00:00"/>
    <n v="1"/>
    <x v="2"/>
    <m/>
    <m/>
    <s v="CDD"/>
    <s v="Ouvrier"/>
    <s v="R&amp;D"/>
    <s v="Assistant"/>
    <n v="20000"/>
    <m/>
    <m/>
  </r>
  <r>
    <s v="Louise Robert"/>
    <x v="0"/>
    <d v="1979-07-14T00:00:00"/>
    <n v="41"/>
    <x v="1"/>
    <d v="2002-12-12T00:00:00"/>
    <n v="18"/>
    <x v="3"/>
    <m/>
    <m/>
    <s v="CDI"/>
    <s v="Cadre"/>
    <s v="RH"/>
    <s v="DRH"/>
    <n v="45000"/>
    <m/>
    <m/>
  </r>
  <r>
    <s v="Florian Bon"/>
    <x v="1"/>
    <d v="1989-03-21T00:00:00"/>
    <n v="31"/>
    <x v="3"/>
    <d v="2019-02-01T00:00:00"/>
    <n v="2"/>
    <x v="2"/>
    <m/>
    <m/>
    <s v="CDI"/>
    <s v="Employé"/>
    <s v="Commercial"/>
    <s v="Vendeur"/>
    <n v="28000"/>
    <m/>
    <m/>
  </r>
  <r>
    <s v="Guillaume Magie"/>
    <x v="1"/>
    <d v="1992-10-12T00:00:00"/>
    <n v="28"/>
    <x v="3"/>
    <d v="2018-03-17T00:00:00"/>
    <n v="3"/>
    <x v="2"/>
    <m/>
    <m/>
    <s v="CDI"/>
    <s v="Employé"/>
    <s v="RH"/>
    <s v="Assistant"/>
    <n v="26000"/>
    <m/>
    <m/>
  </r>
  <r>
    <s v="Charlotte Pomme"/>
    <x v="0"/>
    <d v="2000-02-25T00:00:00"/>
    <n v="21"/>
    <x v="2"/>
    <d v="2021-02-02T00:00:00"/>
    <n v="0"/>
    <x v="2"/>
    <m/>
    <m/>
    <s v="CDD"/>
    <s v="Employé"/>
    <s v="Marketing"/>
    <s v="Assistant"/>
    <n v="24000"/>
    <m/>
    <m/>
  </r>
  <r>
    <s v="Patrick Bref"/>
    <x v="1"/>
    <d v="1978-12-23T00:00:00"/>
    <n v="42"/>
    <x v="1"/>
    <d v="2012-12-03T00:00:00"/>
    <n v="8"/>
    <x v="0"/>
    <m/>
    <m/>
    <s v="CDI"/>
    <s v="Cadre"/>
    <s v="Comptabilité"/>
    <s v="DAF"/>
    <n v="60000"/>
    <m/>
    <m/>
  </r>
  <r>
    <m/>
    <x v="2"/>
    <m/>
    <s v=""/>
    <x v="4"/>
    <m/>
    <s v=""/>
    <x v="4"/>
    <m/>
    <m/>
    <m/>
    <m/>
    <m/>
    <m/>
    <m/>
    <m/>
    <m/>
  </r>
  <r>
    <m/>
    <x v="2"/>
    <m/>
    <s v=""/>
    <x v="4"/>
    <m/>
    <s v=""/>
    <x v="4"/>
    <m/>
    <m/>
    <m/>
    <m/>
    <m/>
    <m/>
    <m/>
    <m/>
    <m/>
  </r>
  <r>
    <m/>
    <x v="2"/>
    <m/>
    <s v=""/>
    <x v="4"/>
    <m/>
    <s v=""/>
    <x v="4"/>
    <m/>
    <m/>
    <m/>
    <m/>
    <m/>
    <m/>
    <m/>
    <m/>
    <m/>
  </r>
  <r>
    <m/>
    <x v="2"/>
    <m/>
    <s v=""/>
    <x v="4"/>
    <m/>
    <s v=""/>
    <x v="4"/>
    <m/>
    <m/>
    <m/>
    <m/>
    <m/>
    <m/>
    <m/>
    <m/>
    <m/>
  </r>
  <r>
    <m/>
    <x v="2"/>
    <m/>
    <s v=""/>
    <x v="4"/>
    <m/>
    <s v=""/>
    <x v="4"/>
    <m/>
    <m/>
    <m/>
    <m/>
    <m/>
    <m/>
    <m/>
    <m/>
    <m/>
  </r>
  <r>
    <m/>
    <x v="2"/>
    <m/>
    <s v=""/>
    <x v="4"/>
    <m/>
    <s v=""/>
    <x v="4"/>
    <m/>
    <m/>
    <m/>
    <m/>
    <m/>
    <m/>
    <m/>
    <m/>
    <m/>
  </r>
  <r>
    <m/>
    <x v="2"/>
    <m/>
    <s v=""/>
    <x v="4"/>
    <m/>
    <s v=""/>
    <x v="4"/>
    <m/>
    <m/>
    <m/>
    <m/>
    <m/>
    <m/>
    <m/>
    <m/>
    <m/>
  </r>
  <r>
    <m/>
    <x v="2"/>
    <m/>
    <s v=""/>
    <x v="4"/>
    <m/>
    <s v=""/>
    <x v="4"/>
    <m/>
    <m/>
    <m/>
    <m/>
    <m/>
    <m/>
    <m/>
    <m/>
    <m/>
  </r>
  <r>
    <m/>
    <x v="2"/>
    <m/>
    <s v=""/>
    <x v="4"/>
    <m/>
    <s v=""/>
    <x v="4"/>
    <m/>
    <m/>
    <m/>
    <m/>
    <m/>
    <m/>
    <m/>
    <m/>
    <m/>
  </r>
  <r>
    <m/>
    <x v="2"/>
    <m/>
    <s v=""/>
    <x v="4"/>
    <m/>
    <s v=""/>
    <x v="4"/>
    <m/>
    <m/>
    <m/>
    <m/>
    <m/>
    <m/>
    <m/>
    <m/>
    <m/>
  </r>
  <r>
    <m/>
    <x v="2"/>
    <m/>
    <s v=""/>
    <x v="4"/>
    <m/>
    <s v=""/>
    <x v="4"/>
    <m/>
    <m/>
    <m/>
    <m/>
    <m/>
    <m/>
    <m/>
    <m/>
    <m/>
  </r>
  <r>
    <m/>
    <x v="2"/>
    <m/>
    <s v=""/>
    <x v="4"/>
    <m/>
    <s v=""/>
    <x v="4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athalie Dupont"/>
    <x v="0"/>
    <d v="1968-02-18T00:00:00"/>
    <n v="53"/>
    <s v="46-55"/>
    <d v="2012-03-07T00:00:00"/>
    <n v="9"/>
    <s v="5-9"/>
    <m/>
    <m/>
    <x v="0"/>
    <x v="0"/>
    <x v="0"/>
    <s v="Experte comptable"/>
    <n v="54000"/>
    <m/>
    <m/>
  </r>
  <r>
    <s v="Paul Durand"/>
    <x v="1"/>
    <d v="1982-09-20T00:00:00"/>
    <n v="38"/>
    <s v="36-45"/>
    <d v="2010-04-02T00:00:00"/>
    <n v="10"/>
    <s v="10-14"/>
    <m/>
    <m/>
    <x v="0"/>
    <x v="1"/>
    <x v="1"/>
    <s v="Vendeur"/>
    <n v="30000"/>
    <m/>
    <m/>
  </r>
  <r>
    <s v="Jules Petit"/>
    <x v="1"/>
    <d v="2000-01-20T00:00:00"/>
    <n v="21"/>
    <s v="18-25"/>
    <d v="2020-02-01T00:00:00"/>
    <n v="1"/>
    <s v="0-4"/>
    <m/>
    <m/>
    <x v="1"/>
    <x v="2"/>
    <x v="2"/>
    <s v="Assistant"/>
    <n v="20000"/>
    <m/>
    <m/>
  </r>
  <r>
    <s v="Louise Robert"/>
    <x v="0"/>
    <d v="1979-07-14T00:00:00"/>
    <n v="41"/>
    <s v="36-45"/>
    <d v="2002-12-12T00:00:00"/>
    <n v="18"/>
    <s v="15-19"/>
    <m/>
    <m/>
    <x v="0"/>
    <x v="0"/>
    <x v="3"/>
    <s v="DRH"/>
    <n v="45000"/>
    <m/>
    <m/>
  </r>
  <r>
    <s v="Florian Bon"/>
    <x v="1"/>
    <d v="1989-03-21T00:00:00"/>
    <n v="31"/>
    <s v="26-35"/>
    <d v="2019-02-01T00:00:00"/>
    <n v="2"/>
    <s v="0-4"/>
    <m/>
    <m/>
    <x v="0"/>
    <x v="1"/>
    <x v="1"/>
    <s v="Vendeur"/>
    <n v="28000"/>
    <m/>
    <m/>
  </r>
  <r>
    <s v="Guillaume Magie"/>
    <x v="1"/>
    <d v="1992-10-12T00:00:00"/>
    <n v="28"/>
    <s v="26-35"/>
    <d v="2018-03-17T00:00:00"/>
    <n v="3"/>
    <s v="0-4"/>
    <m/>
    <m/>
    <x v="0"/>
    <x v="1"/>
    <x v="3"/>
    <s v="Assistant"/>
    <n v="26000"/>
    <m/>
    <m/>
  </r>
  <r>
    <s v="Charlotte Pomme"/>
    <x v="0"/>
    <d v="2000-02-25T00:00:00"/>
    <n v="21"/>
    <s v="18-25"/>
    <d v="2021-02-02T00:00:00"/>
    <n v="0"/>
    <s v="0-4"/>
    <m/>
    <m/>
    <x v="1"/>
    <x v="1"/>
    <x v="4"/>
    <s v="Assistant"/>
    <n v="24000"/>
    <m/>
    <m/>
  </r>
  <r>
    <s v="Patrick Bref"/>
    <x v="1"/>
    <d v="1978-12-23T00:00:00"/>
    <n v="42"/>
    <s v="36-45"/>
    <d v="2012-12-03T00:00:00"/>
    <n v="8"/>
    <s v="5-9"/>
    <m/>
    <m/>
    <x v="0"/>
    <x v="0"/>
    <x v="0"/>
    <s v="DAF"/>
    <n v="60000"/>
    <m/>
    <m/>
  </r>
  <r>
    <m/>
    <x v="2"/>
    <m/>
    <s v=""/>
    <s v=""/>
    <m/>
    <s v=""/>
    <s v=""/>
    <m/>
    <m/>
    <x v="2"/>
    <x v="3"/>
    <x v="5"/>
    <m/>
    <m/>
    <m/>
    <m/>
  </r>
  <r>
    <m/>
    <x v="2"/>
    <m/>
    <s v=""/>
    <s v=""/>
    <m/>
    <s v=""/>
    <s v=""/>
    <m/>
    <m/>
    <x v="2"/>
    <x v="3"/>
    <x v="5"/>
    <m/>
    <m/>
    <m/>
    <m/>
  </r>
  <r>
    <m/>
    <x v="2"/>
    <m/>
    <s v=""/>
    <s v=""/>
    <m/>
    <s v=""/>
    <s v=""/>
    <m/>
    <m/>
    <x v="2"/>
    <x v="3"/>
    <x v="5"/>
    <m/>
    <m/>
    <m/>
    <m/>
  </r>
  <r>
    <m/>
    <x v="2"/>
    <m/>
    <s v=""/>
    <s v=""/>
    <m/>
    <s v=""/>
    <s v=""/>
    <m/>
    <m/>
    <x v="2"/>
    <x v="3"/>
    <x v="5"/>
    <m/>
    <m/>
    <m/>
    <m/>
  </r>
  <r>
    <m/>
    <x v="2"/>
    <m/>
    <s v=""/>
    <s v=""/>
    <m/>
    <s v=""/>
    <s v=""/>
    <m/>
    <m/>
    <x v="2"/>
    <x v="3"/>
    <x v="5"/>
    <m/>
    <m/>
    <m/>
    <m/>
  </r>
  <r>
    <m/>
    <x v="2"/>
    <m/>
    <s v=""/>
    <s v=""/>
    <m/>
    <s v=""/>
    <s v=""/>
    <m/>
    <m/>
    <x v="2"/>
    <x v="3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CABDA-32D3-460F-AFC3-5D172F4B26AF}" name="Tableau croisé dynamique15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0">
  <location ref="E79:F82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m="1" x="3"/>
        <item m="1"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2"/>
    </i>
    <i t="grand">
      <x/>
    </i>
  </rowItems>
  <colItems count="1">
    <i/>
  </colItems>
  <dataFields count="1">
    <dataField name="Nombre de Nom Prénom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2">
            <x v="0"/>
            <x v="2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NotEqual" evalOrder="-1" id="1" stringValue1="(vide)">
      <autoFilter ref="A1">
        <filterColumn colId="0">
          <customFilters>
            <customFilter operator="notEqual" val="(vide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FCDA2-E04E-4EDA-B4AD-2F6F3E9A3559}" name="Tableau croisé dynamique12" cacheId="1" applyNumberFormats="0" applyBorderFormats="0" applyFontFormats="0" applyPatternFormats="0" applyAlignmentFormats="0" applyWidthHeightFormats="1" dataCaption="Valeurs" updatedVersion="8" minRefreshableVersion="3" useAutoFormatting="1" createdVersion="6" indent="0" outline="1" outlineData="1" multipleFieldFilters="0" chartFormat="12">
  <location ref="B79:C82" firstHeaderRow="1" firstDataRow="1" firstDataCol="1"/>
  <pivotFields count="17">
    <pivotField dataField="1" showAll="0"/>
    <pivotField axis="axisRow" showAll="0">
      <items count="4">
        <item n="Homme" x="1"/>
        <item n="Femme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Nombre de Nom Prénom" fld="0" subtotal="count" baseField="1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aptionNotEqual" evalOrder="-1" id="1" stringValue1="(vide)">
      <autoFilter ref="A1">
        <filterColumn colId="0">
          <customFilters>
            <customFilter operator="notEqual" val="(vide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4ABD2-BFE6-40B6-AAE1-78631F4CD5D0}" name="Tableau croisé dynamique3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3">
  <location ref="B87:H89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x="0"/>
        <item x="5"/>
        <item x="2"/>
        <item x="3"/>
        <item x="4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12"/>
  </colFields>
  <colItems count="6">
    <i>
      <x/>
    </i>
    <i>
      <x v="1"/>
    </i>
    <i>
      <x v="3"/>
    </i>
    <i>
      <x v="4"/>
    </i>
    <i>
      <x v="5"/>
    </i>
    <i t="grand">
      <x/>
    </i>
  </colItems>
  <dataFields count="1">
    <dataField name="Nombre de Nom Prénom" fld="0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dataOnly="0" labelOnly="1" outline="0" axis="axisValues" fieldPosition="0"/>
    </format>
    <format dxfId="13">
      <pivotArea field="12" type="button" dataOnly="0" labelOnly="1" outline="0" axis="axisCol" fieldPosition="0"/>
    </format>
    <format dxfId="12">
      <pivotArea type="topRight" dataOnly="0" labelOnly="1" outline="0" fieldPosition="0"/>
    </format>
  </formats>
  <chartFormats count="12"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aptionNotEqual" evalOrder="-1" id="2" stringValue1="(vide)">
      <autoFilter ref="A1">
        <filterColumn colId="0">
          <customFilters>
            <customFilter operator="notEqual" val="(vide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2DEB4-B407-4902-884D-8CD85B253252}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G96:J102" firstHeaderRow="1" firstDataRow="2" firstDataCol="1"/>
  <pivotFields count="17">
    <pivotField dataField="1" showAll="0"/>
    <pivotField axis="axisCol" showAll="0">
      <items count="4">
        <item n="Homme" x="1"/>
        <item n="Femme"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7">
        <item x="4"/>
        <item x="2"/>
        <item x="1"/>
        <item x="3"/>
        <item m="1"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 v="1"/>
    </i>
    <i>
      <x v="2"/>
    </i>
    <i>
      <x v="3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ombre de Nom Prénom" fld="0" subtotal="count" baseField="0" baseItem="0"/>
  </dataFields>
  <formats count="10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1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7" type="button" dataOnly="0" labelOnly="1" outline="0" axis="axisRow" fieldPosition="0"/>
    </format>
    <format dxfId="21">
      <pivotArea dataOnly="0" labelOnly="1" fieldPosition="0">
        <references count="1">
          <reference field="7" count="4">
            <x v="1"/>
            <x v="2"/>
            <x v="3"/>
            <x v="5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18">
      <pivotArea dataOnly="0" labelOnly="1" grandCol="1" outline="0" fieldPosition="0"/>
    </format>
  </formats>
  <chartFormats count="5"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2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aptionNotEqual" evalOrder="-1" id="2" stringValue1="(vide)">
      <autoFilter ref="A1">
        <filterColumn colId="0">
          <customFilters>
            <customFilter operator="notEqual" val="(vide)"/>
          </customFilters>
        </filterColumn>
      </autoFilter>
    </filter>
    <filter fld="7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5DCA6-E19D-47DF-BC20-472C076A0DF1}" name="Tableau croisé dynamique7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7">
  <location ref="L79:M83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1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Moyenne de Rémunération perçue annuelle" fld="14" subtotal="average" baseField="9" baseItem="0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1" type="button" dataOnly="0" labelOnly="1" outline="0" axis="axisRow" fieldPosition="0"/>
    </format>
    <format dxfId="30">
      <pivotArea dataOnly="0" labelOnly="1" fieldPosition="0">
        <references count="1">
          <reference field="11" count="3">
            <x v="0"/>
            <x v="1"/>
            <x v="3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4">
    <chartFormat chart="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aptionNotEqual" evalOrder="-1" id="1" stringValue1="(vide)">
      <autoFilter ref="A1">
        <filterColumn colId="0">
          <customFilters>
            <customFilter operator="notEqual" val="(vide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36F26-601B-4523-853B-F5E95F200518}" name="Tableau croisé dynamique6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3">
  <location ref="J86:K89" firstHeaderRow="1" firstDataRow="1" firstDataCol="1"/>
  <pivotFields count="17">
    <pivotField showAll="0"/>
    <pivotField axis="axisRow" showAll="0">
      <items count="4">
        <item n="Homme" x="1"/>
        <item n="Femme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Moyenne de Rémunération perçue annuelle" fld="14" subtotal="average" baseField="1" baseItem="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3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aptionNotEqual" evalOrder="-1" id="1" stringValue1="(vide)">
      <autoFilter ref="A1">
        <filterColumn colId="0">
          <customFilters>
            <customFilter operator="notEqual" val="(vide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4FF48-84E3-4AD7-A620-7EE581F69421}" name="Tableau croisé dynamique5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H79:I83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Nombre de Nom Prénom" fld="0" subtotal="count" baseField="0" baseItem="0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1" type="button" dataOnly="0" labelOnly="1" outline="0" axis="axisRow" fieldPosition="0"/>
    </format>
    <format dxfId="42">
      <pivotArea dataOnly="0" labelOnly="1" fieldPosition="0">
        <references count="1">
          <reference field="11" count="3">
            <x v="0"/>
            <x v="1"/>
            <x v="3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4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aptionNotEqual" evalOrder="-1" id="1" stringValue1="(vide)">
      <autoFilter ref="A1">
        <filterColumn colId="0">
          <customFilters>
            <customFilter operator="notEqual" val="(vide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53E8C-8FE4-4CF2-873F-4507016AFF54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3">
  <location ref="B96:E102" firstHeaderRow="1" firstDataRow="2" firstDataCol="1"/>
  <pivotFields count="17">
    <pivotField dataField="1" showAll="0"/>
    <pivotField axis="axisCol" showAll="0">
      <items count="4">
        <item n="Homme" x="1"/>
        <item n="Femme" x="0"/>
        <item h="1" x="2"/>
        <item t="default"/>
      </items>
    </pivotField>
    <pivotField showAll="0"/>
    <pivotField showAll="0"/>
    <pivotField axis="axisRow" showAll="0" measureFilter="1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ombre de Nom Prénom" fld="0" subtotal="count" baseField="0" baseItem="0"/>
  </dataFields>
  <chartFormats count="5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valueNotEqual" evalOrder="-1" id="3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5506F9-2469-4BE3-B53F-16230DECAB6D}" name="Tableau2" displayName="Tableau2" ref="H34:H39" totalsRowShown="0" headerRowDxfId="54" dataDxfId="53">
  <autoFilter ref="H34:H39" xr:uid="{9A341E01-0FEE-4FE8-A935-AEB337532D00}"/>
  <tableColumns count="1">
    <tableColumn id="1" xr3:uid="{D4508F83-26E7-4A86-B5A2-D0E7F5CA4608}" name="Département" dataDxfId="5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C1A7A-DA93-4A7D-BD0B-A74B7E9AA3E6}" name="Tableau1" displayName="Tableau1" ref="E34:E38" totalsRowShown="0" headerRowDxfId="51" dataDxfId="50">
  <autoFilter ref="E34:E38" xr:uid="{258AE5B1-325A-488C-9F9C-0345C1C82997}"/>
  <tableColumns count="1">
    <tableColumn id="1" xr3:uid="{3328126F-92A4-4E37-AEBC-903A21E3DFED}" name="Contrat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BA68FA-06BA-4829-9266-017C6C70D0F6}" name="Tableau3" displayName="Tableau3" ref="O2:O4" totalsRowShown="0" headerRowDxfId="48" dataDxfId="47">
  <autoFilter ref="O2:O4" xr:uid="{CCA7865C-E671-44B3-A58C-CC660872962A}"/>
  <tableColumns count="1">
    <tableColumn id="1" xr3:uid="{979FC5B9-5629-46FA-A6F8-7BBEB2AE7CC2}" name="Sexe" dataDxfId="4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Eurecia">
  <a:themeElements>
    <a:clrScheme name="Eurécia">
      <a:dk1>
        <a:srgbClr val="333333"/>
      </a:dk1>
      <a:lt1>
        <a:sysClr val="window" lastClr="FFFFFF"/>
      </a:lt1>
      <a:dk2>
        <a:srgbClr val="E5E2D8"/>
      </a:dk2>
      <a:lt2>
        <a:srgbClr val="F6F2EA"/>
      </a:lt2>
      <a:accent1>
        <a:srgbClr val="79BF9D"/>
      </a:accent1>
      <a:accent2>
        <a:srgbClr val="486267"/>
      </a:accent2>
      <a:accent3>
        <a:srgbClr val="E6B83F"/>
      </a:accent3>
      <a:accent4>
        <a:srgbClr val="C75741"/>
      </a:accent4>
      <a:accent5>
        <a:srgbClr val="333333"/>
      </a:accent5>
      <a:accent6>
        <a:srgbClr val="CF8510"/>
      </a:accent6>
      <a:hlink>
        <a:srgbClr val="90C4CE"/>
      </a:hlink>
      <a:folHlink>
        <a:srgbClr val="F3907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urecia.com/logiciel-portail-rh?utm_campaign=Tableau%20de%20bord%20RH&amp;utm_source=lien-fin-premium-tableau-bord-rh&amp;utm_medium=tableau-bord-rh" TargetMode="External"/><Relationship Id="rId1" Type="http://schemas.openxmlformats.org/officeDocument/2006/relationships/hyperlink" Target="https://www.eurecia.com/logiciel-portail-rh?utm_campaign=Tableau%20de%20bord%20RH&amp;utm_source=lien-fin-premium-tableau-bord-rh&amp;utm_medium=tableau-bord-rh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www.eurecia.com/logiciel-portail-rh?utm_campaign=Tableau%20de%20bord%20RH&amp;utm_source=lien-fin-premium-tableau-bord-rh&amp;utm_medium=tableau-bord-rh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www.eurecia.com/logiciel-portail-rh" TargetMode="External"/><Relationship Id="rId1" Type="http://schemas.openxmlformats.org/officeDocument/2006/relationships/hyperlink" Target="https://www.eurecia.com/logiciel-portail-rh?utm_campaign=Tableau%20de%20bord%20RH&amp;utm_source=lien-fin-premium-tableau-bord-rh&amp;utm_medium=tableau-bord-rh" TargetMode="Externa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2735-33B0-41A0-9DF7-F35F5497EA3E}">
  <sheetPr codeName="Feuil1">
    <pageSetUpPr fitToPage="1"/>
  </sheetPr>
  <dimension ref="B1:K25"/>
  <sheetViews>
    <sheetView zoomScale="90" zoomScaleNormal="90" workbookViewId="0">
      <selection activeCell="C4" sqref="C4"/>
    </sheetView>
  </sheetViews>
  <sheetFormatPr baseColWidth="10" defaultColWidth="11.54296875" defaultRowHeight="13.5" x14ac:dyDescent="0.25"/>
  <cols>
    <col min="1" max="1" width="3.6328125" style="4" customWidth="1"/>
    <col min="2" max="2" width="170.453125" style="58" customWidth="1"/>
    <col min="3" max="3" width="20.54296875" style="4" customWidth="1"/>
    <col min="4" max="7" width="11.54296875" style="4"/>
    <col min="8" max="8" width="17" style="4" customWidth="1"/>
    <col min="9" max="16384" width="11.54296875" style="4"/>
  </cols>
  <sheetData>
    <row r="1" spans="2:11" ht="69" customHeight="1" x14ac:dyDescent="0.25">
      <c r="B1" s="57"/>
      <c r="D1" s="1"/>
    </row>
    <row r="2" spans="2:11" ht="15" x14ac:dyDescent="0.3">
      <c r="B2" s="59" t="s">
        <v>0</v>
      </c>
    </row>
    <row r="3" spans="2:11" x14ac:dyDescent="0.25">
      <c r="B3" s="56"/>
    </row>
    <row r="4" spans="2:11" ht="30" x14ac:dyDescent="0.3">
      <c r="B4" s="59" t="s">
        <v>1</v>
      </c>
      <c r="C4" s="4" t="s">
        <v>6</v>
      </c>
    </row>
    <row r="5" spans="2:11" ht="15" x14ac:dyDescent="0.3">
      <c r="B5" s="60"/>
    </row>
    <row r="6" spans="2:11" ht="15" x14ac:dyDescent="0.3">
      <c r="B6" s="61" t="s">
        <v>2</v>
      </c>
    </row>
    <row r="8" spans="2:11" ht="15" x14ac:dyDescent="0.3">
      <c r="B8" s="59" t="s">
        <v>3</v>
      </c>
    </row>
    <row r="9" spans="2:11" ht="15" x14ac:dyDescent="0.3">
      <c r="B9" s="59"/>
    </row>
    <row r="10" spans="2:11" ht="27" x14ac:dyDescent="0.25">
      <c r="B10" s="62" t="s">
        <v>4</v>
      </c>
    </row>
    <row r="11" spans="2:11" x14ac:dyDescent="0.25">
      <c r="B11" s="56"/>
    </row>
    <row r="12" spans="2:11" ht="27" x14ac:dyDescent="0.25">
      <c r="B12" s="62" t="s">
        <v>5</v>
      </c>
    </row>
    <row r="13" spans="2:11" ht="15" x14ac:dyDescent="0.3">
      <c r="B13" s="59"/>
    </row>
    <row r="14" spans="2:11" ht="27" x14ac:dyDescent="0.25">
      <c r="B14" s="63" t="s">
        <v>73</v>
      </c>
      <c r="C14" s="28"/>
      <c r="D14" s="28"/>
      <c r="E14" s="28"/>
      <c r="F14" s="28"/>
      <c r="G14" s="28"/>
    </row>
    <row r="16" spans="2:11" ht="14" customHeight="1" x14ac:dyDescent="0.25">
      <c r="B16" s="65" t="s">
        <v>72</v>
      </c>
      <c r="C16" s="65"/>
      <c r="D16" s="65"/>
      <c r="E16" s="65"/>
      <c r="F16" s="65"/>
      <c r="G16" s="65"/>
      <c r="H16" s="65"/>
      <c r="J16" s="28"/>
      <c r="K16" s="28"/>
    </row>
    <row r="17" spans="2:11" x14ac:dyDescent="0.25">
      <c r="J17" s="28"/>
      <c r="K17" s="28"/>
    </row>
    <row r="20" spans="2:11" x14ac:dyDescent="0.25">
      <c r="I20" s="4" t="s">
        <v>6</v>
      </c>
    </row>
    <row r="21" spans="2:11" x14ac:dyDescent="0.25">
      <c r="F21" s="3"/>
    </row>
    <row r="22" spans="2:11" x14ac:dyDescent="0.25">
      <c r="B22" s="58" t="s">
        <v>6</v>
      </c>
      <c r="C22" s="4" t="s">
        <v>6</v>
      </c>
      <c r="D22" s="4" t="s">
        <v>6</v>
      </c>
    </row>
    <row r="25" spans="2:11" x14ac:dyDescent="0.25">
      <c r="E25" s="4" t="s">
        <v>6</v>
      </c>
    </row>
  </sheetData>
  <hyperlinks>
    <hyperlink ref="B16:H16" r:id="rId1" display="Tableaux de bord simplifiés et digitalisés sur https://www.eurecia.com/logiciel-portail-rh" xr:uid="{C6098B43-E182-4B54-BDF3-0DF8913207D4}"/>
    <hyperlink ref="B14" r:id="rId2" display="Vous cherchez à améliorer votre suivi RH ? Le logiciel RH Eurécia facilite votre quotidien en regroupant l'ensemble des données salariés au sein d'une interface unique vous permettant ainsi de " xr:uid="{54582177-0DA6-4DEB-AC0A-9869C3313CF5}"/>
  </hyperlinks>
  <pageMargins left="0.7" right="0.7" top="0.75" bottom="0.75" header="0.3" footer="0.3"/>
  <pageSetup paperSize="9" scale="76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708E-AF3E-452A-BC78-CBADEE213780}">
  <sheetPr codeName="Feuil2">
    <pageSetUpPr fitToPage="1"/>
  </sheetPr>
  <dimension ref="B1:NF39"/>
  <sheetViews>
    <sheetView zoomScale="80" zoomScaleNormal="80" workbookViewId="0">
      <selection activeCell="L36" sqref="L36"/>
    </sheetView>
  </sheetViews>
  <sheetFormatPr baseColWidth="10" defaultColWidth="11.54296875" defaultRowHeight="13.5" x14ac:dyDescent="0.25"/>
  <cols>
    <col min="1" max="1" width="4" style="4" customWidth="1"/>
    <col min="2" max="2" width="33.453125" style="4" customWidth="1"/>
    <col min="3" max="3" width="7.08984375" style="4" bestFit="1" customWidth="1"/>
    <col min="4" max="4" width="22.90625" style="4" bestFit="1" customWidth="1"/>
    <col min="5" max="5" width="12.453125" style="4" bestFit="1" customWidth="1"/>
    <col min="6" max="6" width="3" style="4" hidden="1" customWidth="1"/>
    <col min="7" max="7" width="22" style="4" bestFit="1" customWidth="1"/>
    <col min="8" max="8" width="19.36328125" style="4" bestFit="1" customWidth="1"/>
    <col min="9" max="9" width="2.08984375" style="4" hidden="1" customWidth="1"/>
    <col min="10" max="10" width="18" style="4" bestFit="1" customWidth="1"/>
    <col min="11" max="11" width="19" style="4" bestFit="1" customWidth="1"/>
    <col min="12" max="12" width="19.90625" style="4" bestFit="1" customWidth="1"/>
    <col min="13" max="13" width="25.36328125" style="4" bestFit="1" customWidth="1"/>
    <col min="14" max="14" width="36.54296875" style="4" customWidth="1"/>
    <col min="15" max="15" width="24.08984375" style="4" customWidth="1"/>
    <col min="16" max="16" width="37.54296875" style="4" bestFit="1" customWidth="1"/>
    <col min="17" max="18" width="18.54296875" style="4" bestFit="1" customWidth="1"/>
    <col min="19" max="26" width="11.54296875" style="4"/>
    <col min="27" max="27" width="14.453125" style="4" customWidth="1"/>
    <col min="28" max="16384" width="11.54296875" style="4"/>
  </cols>
  <sheetData>
    <row r="1" spans="2:370" ht="74.25" customHeight="1" x14ac:dyDescent="0.25">
      <c r="C1" s="72" t="s">
        <v>75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</row>
    <row r="2" spans="2:370" x14ac:dyDescent="0.25">
      <c r="O2" s="19" t="s">
        <v>7</v>
      </c>
    </row>
    <row r="3" spans="2:370" ht="23.5" x14ac:dyDescent="0.55000000000000004">
      <c r="B3" s="75" t="s">
        <v>78</v>
      </c>
      <c r="C3" s="75"/>
      <c r="D3" s="75"/>
      <c r="E3" s="75"/>
      <c r="F3" s="75"/>
      <c r="G3" s="75"/>
      <c r="H3" s="75"/>
      <c r="I3" s="75"/>
      <c r="J3" s="75"/>
      <c r="K3" s="75"/>
      <c r="L3" s="75"/>
      <c r="O3" s="20" t="s">
        <v>8</v>
      </c>
    </row>
    <row r="4" spans="2:370" x14ac:dyDescent="0.25">
      <c r="O4" s="20" t="s">
        <v>9</v>
      </c>
    </row>
    <row r="5" spans="2:370" x14ac:dyDescent="0.25">
      <c r="B5" s="21" t="s">
        <v>10</v>
      </c>
    </row>
    <row r="7" spans="2:370" s="22" customFormat="1" ht="27" customHeight="1" x14ac:dyDescent="0.25">
      <c r="B7" s="23" t="s">
        <v>11</v>
      </c>
      <c r="C7" s="23" t="s">
        <v>7</v>
      </c>
      <c r="D7" s="23" t="s">
        <v>12</v>
      </c>
      <c r="E7" s="23" t="s">
        <v>13</v>
      </c>
      <c r="F7" s="24" t="s">
        <v>14</v>
      </c>
      <c r="G7" s="24" t="s">
        <v>15</v>
      </c>
      <c r="H7" s="24" t="s">
        <v>16</v>
      </c>
      <c r="I7" s="24" t="s">
        <v>17</v>
      </c>
      <c r="J7" s="25" t="s">
        <v>18</v>
      </c>
      <c r="K7" s="25" t="s">
        <v>19</v>
      </c>
      <c r="L7" s="24" t="s">
        <v>20</v>
      </c>
      <c r="M7" s="24" t="s">
        <v>21</v>
      </c>
      <c r="N7" s="24" t="s">
        <v>22</v>
      </c>
      <c r="O7" s="24" t="s">
        <v>23</v>
      </c>
      <c r="P7" s="26" t="s">
        <v>24</v>
      </c>
      <c r="Q7" s="27" t="s">
        <v>25</v>
      </c>
      <c r="R7" s="27" t="s">
        <v>26</v>
      </c>
    </row>
    <row r="8" spans="2:370" s="28" customFormat="1" x14ac:dyDescent="0.25">
      <c r="B8" s="29" t="s">
        <v>27</v>
      </c>
      <c r="C8" s="30">
        <v>2</v>
      </c>
      <c r="D8" s="31">
        <v>24886</v>
      </c>
      <c r="E8" s="32">
        <f t="shared" ref="E8:E21" ca="1" si="0">IF(D8="","",DATEDIF(D8,TODAY(),"y"))</f>
        <v>56</v>
      </c>
      <c r="F8" s="33" t="str">
        <f t="shared" ref="F8:F27" ca="1" si="1">IF(E8="","",IF(AND(E8&gt;=18,E8&lt;=25),"18-25",IF(AND(E8&gt;=26,E8&lt;=35),"26-35",IF(AND(E8&gt;=36,E8&lt;=45),"36-45",IF(AND(E8&gt;=46,E8&lt;=55),"46-55",IF(AND(E8&gt;=56,E8&lt;=65),"56-65",IF(AND(E8&gt;=66,E8&lt;=75),"66-75","")))))))</f>
        <v>56-65</v>
      </c>
      <c r="G8" s="31">
        <v>40975</v>
      </c>
      <c r="H8" s="32">
        <f ca="1">IF(G8="","",DATEDIF(G8,TODAY(),"y"))</f>
        <v>12</v>
      </c>
      <c r="I8" s="34" t="str">
        <f ca="1">IF(H8="","",IF(AND(H8&gt;=0,H8&lt;=4),"0-4",IF(AND(H8&gt;=5,H8&lt;=9),"5-9",IF(AND(H8&gt;=10,H8&lt;=14),"10-14",IF(AND(H8&gt;=15,H8&lt;=19),"15-19",IF(AND(H8&gt;=20,H8&lt;=24),"20-24",IF(AND(H8&gt;=25,H8&lt;=29),"25-29",IF(AND(H8&gt;=30,H8&lt;=34),"30-34",IF(AND(H8&gt;=35,H8&lt;=39),"35-39",IF(H8&gt;=40,"Plus de 40 ans"))))))))))</f>
        <v>10-14</v>
      </c>
      <c r="J8" s="30"/>
      <c r="K8" s="30"/>
      <c r="L8" s="30" t="s">
        <v>28</v>
      </c>
      <c r="M8" s="30" t="s">
        <v>29</v>
      </c>
      <c r="N8" s="30" t="s">
        <v>30</v>
      </c>
      <c r="O8" s="30" t="s">
        <v>31</v>
      </c>
      <c r="P8" s="35">
        <v>54000</v>
      </c>
      <c r="Q8" s="30"/>
      <c r="R8" s="30"/>
    </row>
    <row r="9" spans="2:370" s="28" customFormat="1" x14ac:dyDescent="0.25">
      <c r="B9" s="29" t="s">
        <v>32</v>
      </c>
      <c r="C9" s="30">
        <v>1</v>
      </c>
      <c r="D9" s="31">
        <v>30214</v>
      </c>
      <c r="E9" s="32">
        <f t="shared" ca="1" si="0"/>
        <v>42</v>
      </c>
      <c r="F9" s="33" t="str">
        <f t="shared" ca="1" si="1"/>
        <v>36-45</v>
      </c>
      <c r="G9" s="31">
        <v>40270</v>
      </c>
      <c r="H9" s="32">
        <f t="shared" ref="H9:H27" ca="1" si="2">IF(G9="","",DATEDIF(G9,TODAY(),"y"))</f>
        <v>14</v>
      </c>
      <c r="I9" s="34" t="str">
        <f t="shared" ref="I9:I27" ca="1" si="3">IF(H9="","",IF(AND(H9&gt;=0,H9&lt;=4),"0-4",IF(AND(H9&gt;=5,H9&lt;=9),"5-9",IF(AND(H9&gt;=10,H9&lt;=14),"10-14",IF(AND(H9&gt;=15,H9&lt;=19),"15-19",IF(AND(H9&gt;=20,H9&lt;=24),"20-24",IF(AND(H9&gt;=25,H9&lt;=29),"25-29",IF(AND(H9&gt;=30,H9&lt;=34),"30-34",IF(AND(H9&gt;=35,H9&lt;=39),"35-39",IF(H9&gt;=40,"Plus de 40 ans"))))))))))</f>
        <v>10-14</v>
      </c>
      <c r="J9" s="30"/>
      <c r="K9" s="30"/>
      <c r="L9" s="30" t="s">
        <v>28</v>
      </c>
      <c r="M9" s="30" t="s">
        <v>33</v>
      </c>
      <c r="N9" s="30" t="s">
        <v>34</v>
      </c>
      <c r="O9" s="30" t="s">
        <v>35</v>
      </c>
      <c r="P9" s="35">
        <v>30000</v>
      </c>
      <c r="Q9" s="30"/>
      <c r="R9" s="30"/>
    </row>
    <row r="10" spans="2:370" s="28" customFormat="1" x14ac:dyDescent="0.25">
      <c r="B10" s="29" t="s">
        <v>36</v>
      </c>
      <c r="C10" s="30">
        <v>1</v>
      </c>
      <c r="D10" s="31">
        <v>36545</v>
      </c>
      <c r="E10" s="32">
        <f t="shared" ca="1" si="0"/>
        <v>24</v>
      </c>
      <c r="F10" s="33" t="str">
        <f t="shared" ca="1" si="1"/>
        <v>18-25</v>
      </c>
      <c r="G10" s="31">
        <v>43862</v>
      </c>
      <c r="H10" s="32">
        <f t="shared" ca="1" si="2"/>
        <v>4</v>
      </c>
      <c r="I10" s="34" t="str">
        <f t="shared" ca="1" si="3"/>
        <v>0-4</v>
      </c>
      <c r="J10" s="30"/>
      <c r="K10" s="30"/>
      <c r="L10" s="30" t="s">
        <v>37</v>
      </c>
      <c r="M10" s="30" t="s">
        <v>38</v>
      </c>
      <c r="N10" s="30" t="s">
        <v>39</v>
      </c>
      <c r="O10" s="30" t="s">
        <v>40</v>
      </c>
      <c r="P10" s="35">
        <v>20000</v>
      </c>
      <c r="Q10" s="30"/>
      <c r="R10" s="30"/>
    </row>
    <row r="11" spans="2:370" x14ac:dyDescent="0.25">
      <c r="B11" s="29" t="s">
        <v>41</v>
      </c>
      <c r="C11" s="30">
        <v>2</v>
      </c>
      <c r="D11" s="31">
        <v>29050</v>
      </c>
      <c r="E11" s="32">
        <f t="shared" ca="1" si="0"/>
        <v>45</v>
      </c>
      <c r="F11" s="33" t="str">
        <f t="shared" ca="1" si="1"/>
        <v>36-45</v>
      </c>
      <c r="G11" s="31">
        <v>37602</v>
      </c>
      <c r="H11" s="32">
        <f t="shared" ca="1" si="2"/>
        <v>21</v>
      </c>
      <c r="I11" s="34" t="str">
        <f t="shared" ca="1" si="3"/>
        <v>20-24</v>
      </c>
      <c r="J11" s="30"/>
      <c r="K11" s="30"/>
      <c r="L11" s="30" t="s">
        <v>28</v>
      </c>
      <c r="M11" s="30" t="s">
        <v>29</v>
      </c>
      <c r="N11" s="30" t="s">
        <v>42</v>
      </c>
      <c r="O11" s="30" t="s">
        <v>43</v>
      </c>
      <c r="P11" s="35">
        <v>45000</v>
      </c>
      <c r="Q11" s="30"/>
      <c r="R11" s="30"/>
    </row>
    <row r="12" spans="2:370" x14ac:dyDescent="0.25">
      <c r="B12" s="29" t="s">
        <v>44</v>
      </c>
      <c r="C12" s="30">
        <v>1</v>
      </c>
      <c r="D12" s="31">
        <v>32588</v>
      </c>
      <c r="E12" s="32">
        <f t="shared" ca="1" si="0"/>
        <v>35</v>
      </c>
      <c r="F12" s="33" t="str">
        <f t="shared" ca="1" si="1"/>
        <v>26-35</v>
      </c>
      <c r="G12" s="31">
        <v>43497</v>
      </c>
      <c r="H12" s="32">
        <f t="shared" ca="1" si="2"/>
        <v>5</v>
      </c>
      <c r="I12" s="34" t="str">
        <f t="shared" ca="1" si="3"/>
        <v>5-9</v>
      </c>
      <c r="J12" s="30"/>
      <c r="K12" s="30"/>
      <c r="L12" s="30" t="s">
        <v>28</v>
      </c>
      <c r="M12" s="30" t="s">
        <v>33</v>
      </c>
      <c r="N12" s="30" t="s">
        <v>34</v>
      </c>
      <c r="O12" s="30" t="s">
        <v>35</v>
      </c>
      <c r="P12" s="35">
        <v>28000</v>
      </c>
      <c r="Q12" s="30"/>
      <c r="R12" s="30"/>
    </row>
    <row r="13" spans="2:370" x14ac:dyDescent="0.25">
      <c r="B13" s="29" t="s">
        <v>45</v>
      </c>
      <c r="C13" s="30">
        <v>1</v>
      </c>
      <c r="D13" s="31">
        <v>33889</v>
      </c>
      <c r="E13" s="32">
        <f t="shared" ca="1" si="0"/>
        <v>32</v>
      </c>
      <c r="F13" s="33" t="str">
        <f t="shared" ca="1" si="1"/>
        <v>26-35</v>
      </c>
      <c r="G13" s="31">
        <v>43176</v>
      </c>
      <c r="H13" s="32">
        <f t="shared" ca="1" si="2"/>
        <v>6</v>
      </c>
      <c r="I13" s="34" t="str">
        <f t="shared" ca="1" si="3"/>
        <v>5-9</v>
      </c>
      <c r="J13" s="30"/>
      <c r="K13" s="30"/>
      <c r="L13" s="30" t="s">
        <v>28</v>
      </c>
      <c r="M13" s="30" t="s">
        <v>33</v>
      </c>
      <c r="N13" s="30" t="s">
        <v>42</v>
      </c>
      <c r="O13" s="30" t="s">
        <v>40</v>
      </c>
      <c r="P13" s="35">
        <v>26000</v>
      </c>
      <c r="Q13" s="30"/>
      <c r="R13" s="30"/>
    </row>
    <row r="14" spans="2:370" x14ac:dyDescent="0.25">
      <c r="B14" s="36" t="s">
        <v>46</v>
      </c>
      <c r="C14" s="30">
        <v>2</v>
      </c>
      <c r="D14" s="31">
        <v>36581</v>
      </c>
      <c r="E14" s="32">
        <f t="shared" ca="1" si="0"/>
        <v>24</v>
      </c>
      <c r="F14" s="33" t="str">
        <f t="shared" ca="1" si="1"/>
        <v>18-25</v>
      </c>
      <c r="G14" s="31">
        <v>44229</v>
      </c>
      <c r="H14" s="32">
        <f t="shared" ca="1" si="2"/>
        <v>3</v>
      </c>
      <c r="I14" s="34" t="str">
        <f t="shared" ca="1" si="3"/>
        <v>0-4</v>
      </c>
      <c r="J14" s="30"/>
      <c r="K14" s="30"/>
      <c r="L14" s="30" t="s">
        <v>37</v>
      </c>
      <c r="M14" s="30" t="s">
        <v>33</v>
      </c>
      <c r="N14" s="30" t="s">
        <v>47</v>
      </c>
      <c r="O14" s="30" t="s">
        <v>40</v>
      </c>
      <c r="P14" s="35">
        <v>24000</v>
      </c>
      <c r="Q14" s="30"/>
      <c r="R14" s="30"/>
    </row>
    <row r="15" spans="2:370" x14ac:dyDescent="0.25">
      <c r="B15" s="36" t="s">
        <v>48</v>
      </c>
      <c r="C15" s="30">
        <v>1</v>
      </c>
      <c r="D15" s="31">
        <v>28847</v>
      </c>
      <c r="E15" s="32">
        <f t="shared" ca="1" si="0"/>
        <v>45</v>
      </c>
      <c r="F15" s="33" t="str">
        <f t="shared" ca="1" si="1"/>
        <v>36-45</v>
      </c>
      <c r="G15" s="31">
        <v>41246</v>
      </c>
      <c r="H15" s="32">
        <f t="shared" ca="1" si="2"/>
        <v>12</v>
      </c>
      <c r="I15" s="34" t="str">
        <f t="shared" ca="1" si="3"/>
        <v>10-14</v>
      </c>
      <c r="J15" s="30"/>
      <c r="K15" s="30"/>
      <c r="L15" s="30" t="s">
        <v>28</v>
      </c>
      <c r="M15" s="30" t="s">
        <v>29</v>
      </c>
      <c r="N15" s="30" t="s">
        <v>30</v>
      </c>
      <c r="O15" s="30" t="s">
        <v>49</v>
      </c>
      <c r="P15" s="35">
        <v>60000</v>
      </c>
      <c r="Q15" s="30"/>
      <c r="R15" s="30"/>
    </row>
    <row r="16" spans="2:370" x14ac:dyDescent="0.25">
      <c r="B16" s="36"/>
      <c r="C16" s="30"/>
      <c r="D16" s="31"/>
      <c r="E16" s="32" t="str">
        <f t="shared" ref="E16" ca="1" si="4">IF(D16="","",DATEDIF(D16,TODAY(),"y"))</f>
        <v/>
      </c>
      <c r="F16" s="33" t="str">
        <f t="shared" ref="F16" ca="1" si="5">IF(E16="","",IF(AND(E16&gt;=18,E16&lt;=25),"18-25",IF(AND(E16&gt;=26,E16&lt;=35),"26-35",IF(AND(E16&gt;=36,E16&lt;=45),"36-45",IF(AND(E16&gt;=46,E16&lt;=55),"46-55",IF(AND(E16&gt;=56,E16&lt;=65),"56-65",IF(AND(E16&gt;=66,E16&lt;=75),"66-75","")))))))</f>
        <v/>
      </c>
      <c r="G16" s="31"/>
      <c r="H16" s="32" t="str">
        <f t="shared" ref="H16" ca="1" si="6">IF(G16="","",DATEDIF(G16,TODAY(),"y"))</f>
        <v/>
      </c>
      <c r="I16" s="34" t="str">
        <f t="shared" ref="I16" ca="1" si="7">IF(H16="","",IF(AND(H16&gt;=0,H16&lt;=4),"0-4",IF(AND(H16&gt;=5,H16&lt;=9),"5-9",IF(AND(H16&gt;=10,H16&lt;=14),"10-14",IF(AND(H16&gt;=15,H16&lt;=19),"15-19",IF(AND(H16&gt;=20,H16&lt;=24),"20-24",IF(AND(H16&gt;=25,H16&lt;=29),"25-29",IF(AND(H16&gt;=30,H16&lt;=34),"30-34",IF(AND(H16&gt;=35,H16&lt;=39),"35-39",IF(H16&gt;=40,"Plus de 40 ans"))))))))))</f>
        <v/>
      </c>
      <c r="J16" s="30"/>
      <c r="K16" s="30"/>
      <c r="L16" s="30"/>
      <c r="M16" s="30"/>
      <c r="N16" s="30"/>
      <c r="O16" s="30"/>
      <c r="P16" s="35"/>
      <c r="Q16" s="30"/>
      <c r="R16" s="30"/>
    </row>
    <row r="17" spans="2:18" x14ac:dyDescent="0.25">
      <c r="B17" s="36"/>
      <c r="C17" s="30"/>
      <c r="D17" s="31"/>
      <c r="E17" s="32" t="str">
        <f t="shared" ref="E17" ca="1" si="8">IF(D17="","",DATEDIF(D17,TODAY(),"y"))</f>
        <v/>
      </c>
      <c r="F17" s="33" t="str">
        <f t="shared" ref="F17" ca="1" si="9">IF(E17="","",IF(AND(E17&gt;=18,E17&lt;=25),"18-25",IF(AND(E17&gt;=26,E17&lt;=35),"26-35",IF(AND(E17&gt;=36,E17&lt;=45),"36-45",IF(AND(E17&gt;=46,E17&lt;=55),"46-55",IF(AND(E17&gt;=56,E17&lt;=65),"56-65",IF(AND(E17&gt;=66,E17&lt;=75),"66-75","")))))))</f>
        <v/>
      </c>
      <c r="G17" s="31"/>
      <c r="H17" s="32" t="str">
        <f t="shared" ref="H17" ca="1" si="10">IF(G17="","",DATEDIF(G17,TODAY(),"y"))</f>
        <v/>
      </c>
      <c r="I17" s="34" t="str">
        <f t="shared" ref="I17" ca="1" si="11">IF(H17="","",IF(AND(H17&gt;=0,H17&lt;=4),"0-4",IF(AND(H17&gt;=5,H17&lt;=9),"5-9",IF(AND(H17&gt;=10,H17&lt;=14),"10-14",IF(AND(H17&gt;=15,H17&lt;=19),"15-19",IF(AND(H17&gt;=20,H17&lt;=24),"20-24",IF(AND(H17&gt;=25,H17&lt;=29),"25-29",IF(AND(H17&gt;=30,H17&lt;=34),"30-34",IF(AND(H17&gt;=35,H17&lt;=39),"35-39",IF(H17&gt;=40,"Plus de 40 ans"))))))))))</f>
        <v/>
      </c>
      <c r="J17" s="30"/>
      <c r="K17" s="30"/>
      <c r="L17" s="30"/>
      <c r="M17" s="30"/>
      <c r="N17" s="30"/>
      <c r="O17" s="30"/>
      <c r="P17" s="35"/>
      <c r="Q17" s="30"/>
      <c r="R17" s="30"/>
    </row>
    <row r="18" spans="2:18" x14ac:dyDescent="0.25">
      <c r="B18" s="37"/>
      <c r="C18" s="38"/>
      <c r="D18" s="38"/>
      <c r="E18" s="32" t="str">
        <f t="shared" ca="1" si="0"/>
        <v/>
      </c>
      <c r="F18" s="33" t="str">
        <f t="shared" ca="1" si="1"/>
        <v/>
      </c>
      <c r="G18" s="38"/>
      <c r="H18" s="32" t="str">
        <f t="shared" ca="1" si="2"/>
        <v/>
      </c>
      <c r="I18" s="34" t="str">
        <f t="shared" ca="1" si="3"/>
        <v/>
      </c>
      <c r="J18" s="38"/>
      <c r="K18" s="38"/>
      <c r="L18" s="38"/>
      <c r="M18" s="38"/>
      <c r="N18" s="38"/>
      <c r="O18" s="38"/>
      <c r="P18" s="39"/>
      <c r="Q18" s="38"/>
      <c r="R18" s="38"/>
    </row>
    <row r="19" spans="2:18" x14ac:dyDescent="0.25">
      <c r="B19" s="40"/>
      <c r="C19" s="41"/>
      <c r="D19" s="41"/>
      <c r="E19" s="32" t="str">
        <f t="shared" ca="1" si="0"/>
        <v/>
      </c>
      <c r="F19" s="33" t="str">
        <f t="shared" ca="1" si="1"/>
        <v/>
      </c>
      <c r="G19" s="41"/>
      <c r="H19" s="32" t="str">
        <f t="shared" ca="1" si="2"/>
        <v/>
      </c>
      <c r="I19" s="34" t="str">
        <f t="shared" ca="1" si="3"/>
        <v/>
      </c>
      <c r="J19" s="41"/>
      <c r="K19" s="41"/>
      <c r="L19" s="41"/>
      <c r="M19" s="41"/>
      <c r="N19" s="41"/>
      <c r="O19" s="41"/>
      <c r="P19" s="42"/>
      <c r="Q19" s="41"/>
      <c r="R19" s="41"/>
    </row>
    <row r="20" spans="2:18" x14ac:dyDescent="0.25">
      <c r="B20" s="43"/>
      <c r="C20" s="38"/>
      <c r="D20" s="38"/>
      <c r="E20" s="32" t="str">
        <f t="shared" ca="1" si="0"/>
        <v/>
      </c>
      <c r="F20" s="33" t="str">
        <f t="shared" ca="1" si="1"/>
        <v/>
      </c>
      <c r="G20" s="44"/>
      <c r="H20" s="32" t="str">
        <f t="shared" ca="1" si="2"/>
        <v/>
      </c>
      <c r="I20" s="34" t="str">
        <f t="shared" ca="1" si="3"/>
        <v/>
      </c>
      <c r="J20" s="38"/>
      <c r="K20" s="38"/>
      <c r="L20" s="38"/>
      <c r="M20" s="38"/>
      <c r="N20" s="38"/>
      <c r="O20" s="38"/>
      <c r="P20" s="39"/>
      <c r="Q20" s="38"/>
      <c r="R20" s="38"/>
    </row>
    <row r="21" spans="2:18" x14ac:dyDescent="0.25">
      <c r="B21" s="43"/>
      <c r="C21" s="38"/>
      <c r="D21" s="38"/>
      <c r="E21" s="32" t="str">
        <f t="shared" ca="1" si="0"/>
        <v/>
      </c>
      <c r="F21" s="33" t="str">
        <f t="shared" ca="1" si="1"/>
        <v/>
      </c>
      <c r="G21" s="38"/>
      <c r="H21" s="32" t="str">
        <f t="shared" ca="1" si="2"/>
        <v/>
      </c>
      <c r="I21" s="34" t="str">
        <f t="shared" ca="1" si="3"/>
        <v/>
      </c>
      <c r="J21" s="38"/>
      <c r="K21" s="38"/>
      <c r="L21" s="38"/>
      <c r="M21" s="38"/>
      <c r="N21" s="38"/>
      <c r="O21" s="38"/>
      <c r="P21" s="39"/>
      <c r="Q21" s="38"/>
      <c r="R21" s="38"/>
    </row>
    <row r="22" spans="2:18" x14ac:dyDescent="0.25">
      <c r="B22" s="38"/>
      <c r="C22" s="38"/>
      <c r="D22" s="45"/>
      <c r="E22" s="32" t="str">
        <f t="shared" ref="E22:E27" ca="1" si="12">IF(D22="","",DATEDIF(D22,TODAY(),"y"))</f>
        <v/>
      </c>
      <c r="F22" s="33" t="str">
        <f t="shared" ca="1" si="1"/>
        <v/>
      </c>
      <c r="G22" s="38"/>
      <c r="H22" s="32" t="str">
        <f t="shared" ca="1" si="2"/>
        <v/>
      </c>
      <c r="I22" s="34" t="str">
        <f t="shared" ca="1" si="3"/>
        <v/>
      </c>
      <c r="J22" s="38"/>
      <c r="K22" s="38"/>
      <c r="L22" s="38"/>
      <c r="M22" s="38"/>
      <c r="N22" s="38"/>
      <c r="O22" s="38"/>
      <c r="P22" s="38"/>
      <c r="Q22" s="38"/>
      <c r="R22" s="38"/>
    </row>
    <row r="23" spans="2:18" x14ac:dyDescent="0.25">
      <c r="B23" s="38"/>
      <c r="C23" s="38"/>
      <c r="D23" s="38"/>
      <c r="E23" s="32" t="str">
        <f t="shared" ca="1" si="12"/>
        <v/>
      </c>
      <c r="F23" s="33" t="str">
        <f t="shared" ca="1" si="1"/>
        <v/>
      </c>
      <c r="G23" s="38"/>
      <c r="H23" s="32" t="str">
        <f t="shared" ca="1" si="2"/>
        <v/>
      </c>
      <c r="I23" s="34" t="str">
        <f t="shared" ca="1" si="3"/>
        <v/>
      </c>
      <c r="J23" s="38"/>
      <c r="K23" s="38"/>
      <c r="L23" s="38"/>
      <c r="M23" s="38"/>
      <c r="N23" s="38"/>
      <c r="O23" s="38"/>
      <c r="P23" s="38"/>
      <c r="Q23" s="38"/>
      <c r="R23" s="38"/>
    </row>
    <row r="24" spans="2:18" x14ac:dyDescent="0.25">
      <c r="B24" s="38"/>
      <c r="C24" s="38"/>
      <c r="D24" s="38"/>
      <c r="E24" s="32" t="str">
        <f t="shared" ca="1" si="12"/>
        <v/>
      </c>
      <c r="F24" s="33" t="str">
        <f t="shared" ca="1" si="1"/>
        <v/>
      </c>
      <c r="G24" s="38"/>
      <c r="H24" s="32" t="str">
        <f t="shared" ca="1" si="2"/>
        <v/>
      </c>
      <c r="I24" s="34" t="str">
        <f t="shared" ca="1" si="3"/>
        <v/>
      </c>
      <c r="J24" s="38"/>
      <c r="K24" s="38"/>
      <c r="L24" s="38"/>
      <c r="M24" s="38"/>
      <c r="N24" s="38"/>
      <c r="O24" s="38"/>
      <c r="P24" s="38"/>
      <c r="Q24" s="38"/>
      <c r="R24" s="38"/>
    </row>
    <row r="25" spans="2:18" x14ac:dyDescent="0.25">
      <c r="B25" s="38"/>
      <c r="C25" s="38"/>
      <c r="D25" s="38"/>
      <c r="E25" s="32" t="str">
        <f t="shared" ca="1" si="12"/>
        <v/>
      </c>
      <c r="F25" s="33" t="str">
        <f t="shared" ca="1" si="1"/>
        <v/>
      </c>
      <c r="G25" s="38"/>
      <c r="H25" s="32" t="str">
        <f t="shared" ca="1" si="2"/>
        <v/>
      </c>
      <c r="I25" s="34" t="str">
        <f t="shared" ca="1" si="3"/>
        <v/>
      </c>
      <c r="J25" s="38"/>
      <c r="K25" s="38"/>
      <c r="L25" s="38"/>
      <c r="M25" s="38"/>
      <c r="N25" s="38"/>
      <c r="O25" s="38"/>
      <c r="P25" s="39"/>
      <c r="Q25" s="38"/>
      <c r="R25" s="38"/>
    </row>
    <row r="26" spans="2:18" x14ac:dyDescent="0.25">
      <c r="B26" s="38"/>
      <c r="C26" s="38"/>
      <c r="D26" s="38"/>
      <c r="E26" s="32" t="str">
        <f t="shared" ca="1" si="12"/>
        <v/>
      </c>
      <c r="F26" s="33" t="str">
        <f t="shared" ca="1" si="1"/>
        <v/>
      </c>
      <c r="G26" s="38"/>
      <c r="H26" s="32" t="str">
        <f t="shared" ca="1" si="2"/>
        <v/>
      </c>
      <c r="I26" s="34" t="str">
        <f t="shared" ca="1" si="3"/>
        <v/>
      </c>
      <c r="J26" s="38"/>
      <c r="K26" s="38"/>
      <c r="L26" s="38"/>
      <c r="M26" s="38"/>
      <c r="N26" s="38"/>
      <c r="O26" s="38"/>
      <c r="P26" s="39"/>
      <c r="Q26" s="38"/>
      <c r="R26" s="38"/>
    </row>
    <row r="27" spans="2:18" x14ac:dyDescent="0.25">
      <c r="B27" s="38"/>
      <c r="C27" s="38"/>
      <c r="D27" s="38"/>
      <c r="E27" s="32" t="str">
        <f t="shared" ca="1" si="12"/>
        <v/>
      </c>
      <c r="F27" s="33" t="str">
        <f t="shared" ca="1" si="1"/>
        <v/>
      </c>
      <c r="G27" s="38"/>
      <c r="H27" s="32" t="str">
        <f t="shared" ca="1" si="2"/>
        <v/>
      </c>
      <c r="I27" s="34" t="str">
        <f t="shared" ca="1" si="3"/>
        <v/>
      </c>
      <c r="J27" s="38"/>
      <c r="K27" s="38"/>
      <c r="L27" s="38"/>
      <c r="M27" s="38"/>
      <c r="N27" s="38"/>
      <c r="O27" s="38"/>
      <c r="P27" s="38"/>
      <c r="Q27" s="38"/>
      <c r="R27" s="38"/>
    </row>
    <row r="29" spans="2:18" s="46" customFormat="1" ht="15" customHeight="1" x14ac:dyDescent="0.45">
      <c r="B29" s="74" t="s">
        <v>77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1" spans="2:18" ht="14" thickBot="1" x14ac:dyDescent="0.3"/>
    <row r="32" spans="2:18" ht="38.25" customHeight="1" thickBot="1" x14ac:dyDescent="0.3">
      <c r="D32" s="69" t="s">
        <v>74</v>
      </c>
      <c r="E32" s="70"/>
      <c r="F32" s="70"/>
      <c r="G32" s="70"/>
      <c r="H32" s="70"/>
      <c r="I32" s="70"/>
      <c r="J32" s="71"/>
    </row>
    <row r="33" spans="5:13" x14ac:dyDescent="0.25">
      <c r="M33" s="22"/>
    </row>
    <row r="34" spans="5:13" x14ac:dyDescent="0.25">
      <c r="E34" s="47" t="s">
        <v>50</v>
      </c>
      <c r="G34" s="22"/>
      <c r="H34" s="47" t="s">
        <v>22</v>
      </c>
      <c r="I34" s="22"/>
      <c r="M34" s="28"/>
    </row>
    <row r="35" spans="5:13" x14ac:dyDescent="0.25">
      <c r="E35" s="48" t="s">
        <v>28</v>
      </c>
      <c r="G35" s="28"/>
      <c r="H35" s="49" t="s">
        <v>34</v>
      </c>
      <c r="I35" s="28"/>
      <c r="M35" s="28"/>
    </row>
    <row r="36" spans="5:13" x14ac:dyDescent="0.25">
      <c r="E36" s="50" t="s">
        <v>37</v>
      </c>
      <c r="G36" s="28"/>
      <c r="H36" s="51" t="s">
        <v>47</v>
      </c>
      <c r="I36" s="28"/>
      <c r="M36" s="28"/>
    </row>
    <row r="37" spans="5:13" x14ac:dyDescent="0.25">
      <c r="E37" s="52" t="s">
        <v>51</v>
      </c>
      <c r="G37" s="28"/>
      <c r="H37" s="51" t="s">
        <v>30</v>
      </c>
      <c r="I37" s="53"/>
    </row>
    <row r="38" spans="5:13" x14ac:dyDescent="0.25">
      <c r="E38" s="54" t="s">
        <v>52</v>
      </c>
      <c r="H38" s="55" t="s">
        <v>39</v>
      </c>
    </row>
    <row r="39" spans="5:13" x14ac:dyDescent="0.25">
      <c r="H39" s="52" t="s">
        <v>42</v>
      </c>
    </row>
  </sheetData>
  <mergeCells count="4">
    <mergeCell ref="D32:J32"/>
    <mergeCell ref="C1:R1"/>
    <mergeCell ref="B29:P29"/>
    <mergeCell ref="B3:L3"/>
  </mergeCells>
  <phoneticPr fontId="1" type="noConversion"/>
  <dataValidations count="2">
    <dataValidation type="list" allowBlank="1" showInputMessage="1" showErrorMessage="1" sqref="L8:L27" xr:uid="{7610AEBF-3DED-40AE-AD2C-47FC141A972E}">
      <formula1>Contrat_1</formula1>
    </dataValidation>
    <dataValidation type="list" allowBlank="1" showInputMessage="1" showErrorMessage="1" sqref="N8:N27" xr:uid="{CD506A67-D7BA-462E-B7BA-9BF2856B2C1A}">
      <formula1>Département_1</formula1>
    </dataValidation>
  </dataValidations>
  <hyperlinks>
    <hyperlink ref="B3" r:id="rId1" xr:uid="{DB76EF95-5C40-4796-A928-EDCBF49F9798}"/>
    <hyperlink ref="B29" r:id="rId2" xr:uid="{15A471DA-B7E7-4616-8C92-F3B8E8AFF96E}"/>
    <hyperlink ref="B29:P29" r:id="rId3" display="Votre entreprise compte plus de 20 salariés ? La gestion de vos tableaux de bord sociaux va vite devenir un cauchemar. Il est temps de passer à une solution automatisée en ligne ! Plus d'informations sur https://www.eurecia.com/logiciel-portail-rh" xr:uid="{91673B6A-317A-42F7-B506-5BD60CD2B1C1}"/>
  </hyperlinks>
  <pageMargins left="0.7" right="0.7" top="0.75" bottom="0.75" header="0.3" footer="0.3"/>
  <pageSetup paperSize="8" fitToWidth="2" orientation="landscape" r:id="rId4"/>
  <drawing r:id="rId5"/>
  <tableParts count="3"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A2F5-571D-4A2A-9DA8-4A48ADF75399}">
  <sheetPr codeName="Feuil3">
    <pageSetUpPr fitToPage="1"/>
  </sheetPr>
  <dimension ref="B1:Y118"/>
  <sheetViews>
    <sheetView showGridLines="0" tabSelected="1" topLeftCell="A36" zoomScale="70" zoomScaleNormal="70" workbookViewId="0">
      <selection activeCell="M16" sqref="M16"/>
    </sheetView>
  </sheetViews>
  <sheetFormatPr baseColWidth="10" defaultColWidth="11.54296875" defaultRowHeight="13.5" x14ac:dyDescent="0.25"/>
  <cols>
    <col min="1" max="1" width="3.6328125" style="4" customWidth="1"/>
    <col min="2" max="2" width="20" style="4" customWidth="1"/>
    <col min="3" max="3" width="12.453125" style="4" customWidth="1"/>
    <col min="4" max="4" width="46.453125" style="4" customWidth="1"/>
    <col min="5" max="5" width="17.36328125" style="4" bestFit="1" customWidth="1"/>
    <col min="6" max="6" width="16" style="4" bestFit="1" customWidth="1"/>
    <col min="7" max="7" width="59.6328125" style="4" customWidth="1"/>
    <col min="8" max="8" width="30" style="4" bestFit="1" customWidth="1"/>
    <col min="9" max="9" width="14.90625" style="4" customWidth="1"/>
    <col min="10" max="10" width="19.08984375" style="4" customWidth="1"/>
    <col min="11" max="11" width="21.08984375" style="4" customWidth="1"/>
    <col min="12" max="12" width="14.54296875" style="4" customWidth="1"/>
    <col min="13" max="13" width="33.6328125" style="4" customWidth="1"/>
    <col min="14" max="14" width="33.453125" style="4" bestFit="1" customWidth="1"/>
    <col min="15" max="15" width="16.36328125" style="4" bestFit="1" customWidth="1"/>
    <col min="16" max="16" width="7" style="4" bestFit="1" customWidth="1"/>
    <col min="17" max="17" width="5.36328125" style="4" bestFit="1" customWidth="1"/>
    <col min="18" max="18" width="13.36328125" style="4" bestFit="1" customWidth="1"/>
    <col min="19" max="19" width="29.36328125" style="4" bestFit="1" customWidth="1"/>
    <col min="20" max="20" width="54.36328125" style="4" bestFit="1" customWidth="1"/>
    <col min="21" max="21" width="22.36328125" style="3" bestFit="1" customWidth="1"/>
    <col min="22" max="22" width="11.6328125" style="3" bestFit="1" customWidth="1"/>
    <col min="23" max="23" width="5.90625" style="3" bestFit="1" customWidth="1"/>
    <col min="24" max="24" width="4.6328125" style="3" bestFit="1" customWidth="1"/>
    <col min="25" max="25" width="3.36328125" style="3" bestFit="1" customWidth="1"/>
    <col min="26" max="26" width="19.54296875" style="4" bestFit="1" customWidth="1"/>
    <col min="27" max="27" width="38.54296875" style="4" bestFit="1" customWidth="1"/>
    <col min="28" max="16384" width="11.54296875" style="4"/>
  </cols>
  <sheetData>
    <row r="1" spans="2:21" ht="69.75" customHeight="1" x14ac:dyDescent="0.25">
      <c r="B1" s="2"/>
      <c r="C1" s="2"/>
      <c r="D1" s="68" t="s">
        <v>79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2:21" ht="33" customHeight="1" thickBot="1" x14ac:dyDescent="0.3">
      <c r="B2" s="64" t="s">
        <v>76</v>
      </c>
    </row>
    <row r="3" spans="2:21" ht="59.4" customHeight="1" x14ac:dyDescent="0.45">
      <c r="B3" s="5"/>
      <c r="C3" s="6"/>
      <c r="D3" s="6"/>
      <c r="E3" s="66" t="s">
        <v>53</v>
      </c>
      <c r="F3" s="67"/>
      <c r="G3" s="6"/>
      <c r="H3" s="79" t="s">
        <v>54</v>
      </c>
      <c r="I3" s="79"/>
      <c r="J3" s="6"/>
      <c r="K3" s="6"/>
      <c r="L3" s="7"/>
    </row>
    <row r="4" spans="2:21" ht="37.25" customHeight="1" x14ac:dyDescent="0.55000000000000004">
      <c r="B4" s="8"/>
      <c r="E4" s="9">
        <f>COUNTA('Données salariés'!B8:B21)</f>
        <v>8</v>
      </c>
      <c r="F4" s="10"/>
      <c r="G4" s="10"/>
      <c r="H4" s="80">
        <f>SUM('Données salariés'!P8:P21)</f>
        <v>287000</v>
      </c>
      <c r="I4" s="80"/>
      <c r="L4" s="11"/>
    </row>
    <row r="5" spans="2:21" ht="32" customHeight="1" thickBot="1" x14ac:dyDescent="0.3">
      <c r="B5" s="12"/>
      <c r="C5" s="13"/>
      <c r="D5" s="13"/>
      <c r="E5" s="14" t="s">
        <v>55</v>
      </c>
      <c r="F5" s="13"/>
      <c r="G5" s="13"/>
      <c r="H5" s="81"/>
      <c r="I5" s="81"/>
      <c r="J5" s="13"/>
      <c r="K5" s="13"/>
      <c r="L5" s="15"/>
    </row>
    <row r="6" spans="2:21" ht="22.25" customHeight="1" x14ac:dyDescent="0.25"/>
    <row r="7" spans="2:21" x14ac:dyDescent="0.25">
      <c r="G7" s="3"/>
      <c r="H7" s="3"/>
      <c r="I7" s="3"/>
      <c r="J7" s="3"/>
      <c r="M7" s="3"/>
      <c r="N7" s="3"/>
      <c r="P7" s="3"/>
    </row>
    <row r="8" spans="2:21" x14ac:dyDescent="0.25">
      <c r="F8" s="3"/>
      <c r="G8" s="3"/>
      <c r="H8" s="3"/>
      <c r="I8" s="3"/>
      <c r="J8" s="3"/>
      <c r="M8" s="3"/>
      <c r="N8" s="3"/>
      <c r="P8" s="3"/>
    </row>
    <row r="9" spans="2:21" x14ac:dyDescent="0.25">
      <c r="F9" s="3"/>
      <c r="G9" s="3"/>
      <c r="H9" s="3"/>
      <c r="I9" s="3"/>
      <c r="J9" s="3"/>
      <c r="M9" s="3"/>
      <c r="N9" s="3"/>
      <c r="P9" s="3"/>
    </row>
    <row r="10" spans="2:21" x14ac:dyDescent="0.25">
      <c r="F10" s="3"/>
      <c r="G10" s="3"/>
      <c r="H10" s="3"/>
      <c r="I10" s="3"/>
      <c r="J10" s="3"/>
      <c r="M10" s="3"/>
      <c r="N10" s="3"/>
      <c r="P10" s="3"/>
    </row>
    <row r="11" spans="2:21" x14ac:dyDescent="0.25">
      <c r="F11" s="3"/>
      <c r="G11" s="3"/>
      <c r="H11" s="3"/>
      <c r="I11" s="3"/>
      <c r="J11" s="3"/>
      <c r="M11" s="3"/>
      <c r="N11" s="3"/>
      <c r="P11" s="3"/>
    </row>
    <row r="12" spans="2:21" x14ac:dyDescent="0.25">
      <c r="F12" s="3"/>
      <c r="G12" s="3"/>
      <c r="H12" s="3"/>
      <c r="I12" s="3"/>
      <c r="J12" s="3"/>
      <c r="M12" s="3"/>
      <c r="N12" s="3"/>
      <c r="P12" s="3"/>
    </row>
    <row r="13" spans="2:21" x14ac:dyDescent="0.25">
      <c r="F13" s="3"/>
      <c r="G13" s="3"/>
      <c r="H13" s="3"/>
      <c r="I13" s="3"/>
      <c r="J13" s="3"/>
      <c r="M13" s="3"/>
      <c r="N13" s="3"/>
      <c r="P13" s="3"/>
    </row>
    <row r="14" spans="2:21" x14ac:dyDescent="0.25">
      <c r="F14" s="3"/>
      <c r="G14" s="3"/>
      <c r="H14" s="3"/>
      <c r="I14" s="3"/>
      <c r="J14" s="3"/>
      <c r="M14" s="3"/>
      <c r="N14" s="3"/>
      <c r="P14" s="3"/>
    </row>
    <row r="15" spans="2:21" x14ac:dyDescent="0.25">
      <c r="F15" s="3"/>
      <c r="G15" s="3"/>
      <c r="H15" s="3"/>
      <c r="I15" s="3"/>
      <c r="P15" s="3"/>
    </row>
    <row r="16" spans="2:21" x14ac:dyDescent="0.25">
      <c r="P16" s="3"/>
    </row>
    <row r="17" spans="5:20" x14ac:dyDescent="0.25">
      <c r="P17" s="3"/>
    </row>
    <row r="18" spans="5:20" x14ac:dyDescent="0.25">
      <c r="H18" s="3"/>
      <c r="P18" s="3"/>
      <c r="T18" s="3"/>
    </row>
    <row r="19" spans="5:20" x14ac:dyDescent="0.25">
      <c r="H19" s="3"/>
      <c r="P19" s="3"/>
      <c r="T19" s="3"/>
    </row>
    <row r="20" spans="5:20" x14ac:dyDescent="0.25">
      <c r="R20" s="3"/>
      <c r="S20" s="3"/>
      <c r="T20" s="3"/>
    </row>
    <row r="23" spans="5:20" ht="19.25" customHeight="1" x14ac:dyDescent="0.25"/>
    <row r="24" spans="5:20" x14ac:dyDescent="0.25">
      <c r="E24" s="3"/>
      <c r="F24" s="3"/>
      <c r="G24" s="3"/>
    </row>
    <row r="25" spans="5:20" x14ac:dyDescent="0.25">
      <c r="E25" s="3"/>
      <c r="F25" s="3"/>
      <c r="G25" s="3"/>
      <c r="S25" s="3"/>
    </row>
    <row r="26" spans="5:20" x14ac:dyDescent="0.25">
      <c r="E26" s="3"/>
      <c r="F26" s="3"/>
      <c r="G26" s="3"/>
      <c r="M26" s="3"/>
      <c r="N26" s="3"/>
      <c r="S26" s="3"/>
    </row>
    <row r="27" spans="5:20" x14ac:dyDescent="0.25">
      <c r="E27" s="3"/>
      <c r="F27" s="3"/>
      <c r="G27" s="3"/>
      <c r="S27" s="3"/>
    </row>
    <row r="28" spans="5:20" x14ac:dyDescent="0.25">
      <c r="E28" s="3"/>
      <c r="F28" s="3"/>
      <c r="G28" s="3"/>
      <c r="R28" s="3"/>
      <c r="S28" s="3"/>
    </row>
    <row r="29" spans="5:20" x14ac:dyDescent="0.25">
      <c r="E29" s="3"/>
      <c r="F29" s="3"/>
      <c r="R29" s="3"/>
      <c r="S29" s="3"/>
    </row>
    <row r="30" spans="5:20" x14ac:dyDescent="0.25">
      <c r="E30" s="3"/>
      <c r="F30" s="3"/>
      <c r="G30" s="3"/>
      <c r="R30" s="3"/>
      <c r="S30" s="3"/>
      <c r="T30" s="3"/>
    </row>
    <row r="31" spans="5:20" x14ac:dyDescent="0.25">
      <c r="E31" s="3"/>
      <c r="F31" s="3"/>
      <c r="G31" s="3"/>
      <c r="R31" s="3"/>
      <c r="S31" s="3"/>
      <c r="T31" s="3"/>
    </row>
    <row r="32" spans="5:20" x14ac:dyDescent="0.25">
      <c r="E32" s="3"/>
      <c r="F32" s="3"/>
      <c r="G32" s="3"/>
      <c r="R32" s="3"/>
      <c r="S32" s="3"/>
      <c r="T32" s="3"/>
    </row>
    <row r="33" spans="5:20" x14ac:dyDescent="0.25">
      <c r="E33" s="3"/>
      <c r="F33" s="3"/>
      <c r="G33" s="3"/>
      <c r="S33" s="3"/>
      <c r="T33" s="3"/>
    </row>
    <row r="39" spans="5:20" x14ac:dyDescent="0.25">
      <c r="G39" s="3"/>
    </row>
    <row r="40" spans="5:20" x14ac:dyDescent="0.25">
      <c r="G40" s="3"/>
    </row>
    <row r="41" spans="5:20" x14ac:dyDescent="0.25">
      <c r="G41" s="3"/>
    </row>
    <row r="42" spans="5:20" x14ac:dyDescent="0.25">
      <c r="E42" s="3"/>
      <c r="F42" s="3"/>
      <c r="G42" s="3"/>
    </row>
    <row r="43" spans="5:20" x14ac:dyDescent="0.25">
      <c r="E43" s="3"/>
      <c r="F43" s="3"/>
      <c r="G43" s="3"/>
      <c r="N43" s="3"/>
    </row>
    <row r="44" spans="5:20" x14ac:dyDescent="0.25">
      <c r="E44" s="3"/>
      <c r="F44" s="3"/>
      <c r="G44" s="3"/>
      <c r="N44" s="3"/>
    </row>
    <row r="45" spans="5:20" x14ac:dyDescent="0.25">
      <c r="F45" s="3"/>
      <c r="G45" s="3"/>
      <c r="H45" s="3"/>
      <c r="N45" s="3"/>
    </row>
    <row r="46" spans="5:20" x14ac:dyDescent="0.25">
      <c r="M46" s="3"/>
      <c r="N46" s="3"/>
    </row>
    <row r="47" spans="5:20" x14ac:dyDescent="0.25">
      <c r="N47" s="3"/>
    </row>
    <row r="57" spans="13:15" x14ac:dyDescent="0.25">
      <c r="M57" s="3"/>
      <c r="N57" s="3"/>
      <c r="O57" s="3"/>
    </row>
    <row r="58" spans="13:15" x14ac:dyDescent="0.25">
      <c r="M58" s="3"/>
      <c r="N58" s="3"/>
      <c r="O58" s="3"/>
    </row>
    <row r="73" spans="2:25" hidden="1" x14ac:dyDescent="0.25">
      <c r="F73" s="3"/>
      <c r="G73" s="3"/>
      <c r="P73" s="3"/>
      <c r="Q73" s="3"/>
      <c r="R73" s="3"/>
      <c r="S73" s="3"/>
      <c r="T73" s="3"/>
      <c r="U73" s="4"/>
      <c r="V73" s="4"/>
      <c r="W73" s="4"/>
      <c r="X73" s="4"/>
      <c r="Y73" s="4"/>
    </row>
    <row r="74" spans="2:25" ht="17.5" hidden="1" x14ac:dyDescent="0.35">
      <c r="E74" s="76" t="s">
        <v>56</v>
      </c>
      <c r="F74" s="77"/>
      <c r="G74" s="78"/>
      <c r="P74" s="3"/>
      <c r="Q74" s="3"/>
      <c r="R74" s="3"/>
      <c r="S74" s="3"/>
      <c r="T74" s="3"/>
      <c r="U74" s="4"/>
      <c r="V74" s="4"/>
      <c r="W74" s="4"/>
      <c r="X74" s="4"/>
      <c r="Y74" s="4"/>
    </row>
    <row r="75" spans="2:25" hidden="1" x14ac:dyDescent="0.25">
      <c r="F75" s="3"/>
      <c r="G75" s="3"/>
      <c r="M75" s="3"/>
      <c r="N75" s="3"/>
      <c r="O75" s="3"/>
      <c r="P75" s="3"/>
      <c r="Q75" s="3"/>
      <c r="U75" s="4"/>
      <c r="V75" s="4"/>
      <c r="W75" s="4"/>
      <c r="X75" s="4"/>
      <c r="Y75" s="4"/>
    </row>
    <row r="76" spans="2:25" hidden="1" x14ac:dyDescent="0.25">
      <c r="F76" s="3"/>
      <c r="G76" s="3"/>
      <c r="H76" s="3"/>
      <c r="P76" s="3"/>
      <c r="Q76" s="3"/>
      <c r="R76" s="3"/>
      <c r="S76" s="3"/>
      <c r="T76" s="3"/>
      <c r="U76" s="4"/>
      <c r="V76" s="4"/>
      <c r="W76" s="4"/>
      <c r="X76" s="4"/>
      <c r="Y76" s="4"/>
    </row>
    <row r="77" spans="2:25" hidden="1" x14ac:dyDescent="0.25">
      <c r="F77" s="3"/>
      <c r="G77" s="3"/>
      <c r="H77" s="3"/>
    </row>
    <row r="78" spans="2:25" hidden="1" x14ac:dyDescent="0.25">
      <c r="F78" s="3"/>
    </row>
    <row r="79" spans="2:25" hidden="1" x14ac:dyDescent="0.25">
      <c r="B79" s="16" t="s">
        <v>57</v>
      </c>
      <c r="C79" s="3" t="s">
        <v>58</v>
      </c>
      <c r="E79" s="16" t="s">
        <v>57</v>
      </c>
      <c r="F79" s="3" t="s">
        <v>58</v>
      </c>
      <c r="H79" s="16" t="s">
        <v>57</v>
      </c>
      <c r="I79" s="3" t="s">
        <v>58</v>
      </c>
      <c r="L79" s="16" t="s">
        <v>57</v>
      </c>
      <c r="M79" s="3" t="s">
        <v>59</v>
      </c>
    </row>
    <row r="80" spans="2:25" hidden="1" x14ac:dyDescent="0.25">
      <c r="B80" s="17" t="s">
        <v>60</v>
      </c>
      <c r="C80" s="3">
        <v>5</v>
      </c>
      <c r="E80" s="17" t="s">
        <v>28</v>
      </c>
      <c r="F80" s="3">
        <v>6</v>
      </c>
      <c r="H80" s="17" t="s">
        <v>29</v>
      </c>
      <c r="I80" s="3">
        <v>3</v>
      </c>
      <c r="L80" s="17" t="s">
        <v>29</v>
      </c>
      <c r="M80" s="3">
        <v>53000</v>
      </c>
    </row>
    <row r="81" spans="2:20" hidden="1" x14ac:dyDescent="0.25">
      <c r="B81" s="17" t="s">
        <v>61</v>
      </c>
      <c r="C81" s="3">
        <v>3</v>
      </c>
      <c r="E81" s="17" t="s">
        <v>37</v>
      </c>
      <c r="F81" s="3">
        <v>2</v>
      </c>
      <c r="H81" s="17" t="s">
        <v>33</v>
      </c>
      <c r="I81" s="3">
        <v>4</v>
      </c>
      <c r="L81" s="17" t="s">
        <v>33</v>
      </c>
      <c r="M81" s="3">
        <v>27000</v>
      </c>
    </row>
    <row r="82" spans="2:20" hidden="1" x14ac:dyDescent="0.25">
      <c r="B82" s="17" t="s">
        <v>62</v>
      </c>
      <c r="C82" s="3">
        <v>8</v>
      </c>
      <c r="E82" s="17" t="s">
        <v>62</v>
      </c>
      <c r="F82" s="3">
        <v>8</v>
      </c>
      <c r="H82" s="17" t="s">
        <v>38</v>
      </c>
      <c r="I82" s="3">
        <v>1</v>
      </c>
      <c r="L82" s="17" t="s">
        <v>38</v>
      </c>
      <c r="M82" s="3">
        <v>20000</v>
      </c>
    </row>
    <row r="83" spans="2:20" hidden="1" x14ac:dyDescent="0.25">
      <c r="B83" s="3"/>
      <c r="C83" s="3"/>
      <c r="F83" s="3"/>
      <c r="G83" s="3"/>
      <c r="H83" s="17" t="s">
        <v>62</v>
      </c>
      <c r="I83" s="3">
        <v>8</v>
      </c>
      <c r="L83" s="17" t="s">
        <v>62</v>
      </c>
      <c r="M83" s="3">
        <v>35875</v>
      </c>
      <c r="O83" s="3"/>
      <c r="P83" s="3"/>
    </row>
    <row r="84" spans="2:20" hidden="1" x14ac:dyDescent="0.25">
      <c r="F84" s="3"/>
      <c r="G84" s="3"/>
      <c r="H84" s="3"/>
      <c r="L84" s="3"/>
      <c r="M84" s="3"/>
      <c r="S84" s="3"/>
      <c r="T84" s="3"/>
    </row>
    <row r="85" spans="2:20" hidden="1" x14ac:dyDescent="0.25">
      <c r="F85" s="3"/>
      <c r="G85" s="3"/>
      <c r="H85" s="3"/>
    </row>
    <row r="86" spans="2:20" hidden="1" x14ac:dyDescent="0.25">
      <c r="I86" s="3"/>
      <c r="J86" s="16" t="s">
        <v>57</v>
      </c>
      <c r="K86" s="3" t="s">
        <v>59</v>
      </c>
    </row>
    <row r="87" spans="2:20" hidden="1" x14ac:dyDescent="0.25">
      <c r="B87" s="3"/>
      <c r="C87" s="16" t="s">
        <v>63</v>
      </c>
      <c r="D87" s="3"/>
      <c r="E87" s="3"/>
      <c r="F87" s="3"/>
      <c r="G87" s="3"/>
      <c r="H87" s="3"/>
      <c r="I87" s="3"/>
      <c r="J87" s="17" t="s">
        <v>60</v>
      </c>
      <c r="K87" s="3">
        <v>32800</v>
      </c>
      <c r="T87" s="3"/>
    </row>
    <row r="88" spans="2:20" hidden="1" x14ac:dyDescent="0.25">
      <c r="B88" s="3"/>
      <c r="C88" s="3" t="s">
        <v>34</v>
      </c>
      <c r="D88" s="3" t="s">
        <v>30</v>
      </c>
      <c r="E88" s="3" t="s">
        <v>39</v>
      </c>
      <c r="F88" s="3" t="s">
        <v>42</v>
      </c>
      <c r="G88" s="3" t="s">
        <v>47</v>
      </c>
      <c r="H88" s="3" t="s">
        <v>62</v>
      </c>
      <c r="I88" s="3"/>
      <c r="J88" s="17" t="s">
        <v>61</v>
      </c>
      <c r="K88" s="3">
        <v>41000</v>
      </c>
      <c r="T88" s="3"/>
    </row>
    <row r="89" spans="2:20" hidden="1" x14ac:dyDescent="0.25">
      <c r="B89" s="3" t="s">
        <v>58</v>
      </c>
      <c r="C89" s="3">
        <v>2</v>
      </c>
      <c r="D89" s="3">
        <v>2</v>
      </c>
      <c r="E89" s="3">
        <v>1</v>
      </c>
      <c r="F89" s="3">
        <v>2</v>
      </c>
      <c r="G89" s="3">
        <v>1</v>
      </c>
      <c r="H89" s="3">
        <v>8</v>
      </c>
      <c r="I89" s="3"/>
      <c r="J89" s="17" t="s">
        <v>62</v>
      </c>
      <c r="K89" s="3">
        <v>35875</v>
      </c>
      <c r="T89" s="3"/>
    </row>
    <row r="90" spans="2:20" hidden="1" x14ac:dyDescent="0.25">
      <c r="B90" s="3"/>
      <c r="C90" s="3"/>
      <c r="D90" s="3"/>
      <c r="E90" s="3"/>
      <c r="F90" s="3"/>
      <c r="H90" s="17"/>
      <c r="I90" s="3"/>
      <c r="J90" s="3"/>
      <c r="K90" s="3"/>
      <c r="L90" s="3"/>
    </row>
    <row r="91" spans="2:20" hidden="1" x14ac:dyDescent="0.25">
      <c r="B91" s="3"/>
      <c r="C91" s="3"/>
      <c r="D91" s="3"/>
      <c r="E91" s="3"/>
      <c r="F91" s="3"/>
      <c r="H91" s="17"/>
      <c r="I91" s="3"/>
      <c r="J91" s="3"/>
      <c r="K91" s="3"/>
      <c r="L91" s="3"/>
    </row>
    <row r="92" spans="2:20" hidden="1" x14ac:dyDescent="0.25">
      <c r="B92" s="3"/>
      <c r="C92" s="3"/>
      <c r="D92" s="3"/>
      <c r="E92" s="3"/>
      <c r="F92" s="3"/>
      <c r="H92" s="17"/>
      <c r="I92" s="3"/>
      <c r="J92" s="3"/>
      <c r="K92" s="3"/>
      <c r="L92" s="3"/>
    </row>
    <row r="93" spans="2:20" hidden="1" x14ac:dyDescent="0.25">
      <c r="B93" s="3"/>
      <c r="C93" s="3"/>
      <c r="D93" s="3"/>
      <c r="E93" s="3"/>
      <c r="F93" s="3"/>
      <c r="H93" s="17"/>
      <c r="I93" s="3"/>
      <c r="J93" s="3"/>
      <c r="K93" s="3"/>
      <c r="L93" s="3"/>
    </row>
    <row r="94" spans="2:20" hidden="1" x14ac:dyDescent="0.25">
      <c r="B94" s="3"/>
      <c r="C94" s="3"/>
      <c r="D94" s="3"/>
      <c r="E94" s="3"/>
      <c r="F94" s="3"/>
      <c r="H94" s="3"/>
      <c r="I94" s="3"/>
      <c r="J94" s="3"/>
      <c r="K94" s="3"/>
      <c r="L94" s="3"/>
    </row>
    <row r="95" spans="2:20" hidden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2:20" hidden="1" x14ac:dyDescent="0.25">
      <c r="B96" s="16" t="s">
        <v>58</v>
      </c>
      <c r="C96" s="16" t="s">
        <v>63</v>
      </c>
      <c r="D96" s="3"/>
      <c r="E96" s="3"/>
      <c r="F96" s="3"/>
      <c r="G96" s="16" t="s">
        <v>58</v>
      </c>
      <c r="H96" s="16" t="s">
        <v>63</v>
      </c>
      <c r="I96" s="3"/>
      <c r="J96" s="3"/>
      <c r="K96" s="3"/>
      <c r="L96" s="3"/>
    </row>
    <row r="97" spans="2:11" hidden="1" x14ac:dyDescent="0.25">
      <c r="B97" s="16" t="s">
        <v>57</v>
      </c>
      <c r="C97" s="3" t="s">
        <v>60</v>
      </c>
      <c r="D97" s="3" t="s">
        <v>61</v>
      </c>
      <c r="E97" s="3" t="s">
        <v>62</v>
      </c>
      <c r="F97" s="3"/>
      <c r="G97" s="16" t="s">
        <v>57</v>
      </c>
      <c r="H97" s="3" t="s">
        <v>60</v>
      </c>
      <c r="I97" s="3" t="s">
        <v>61</v>
      </c>
      <c r="J97" s="3" t="s">
        <v>62</v>
      </c>
      <c r="K97" s="3"/>
    </row>
    <row r="98" spans="2:11" hidden="1" x14ac:dyDescent="0.25">
      <c r="B98" s="17" t="s">
        <v>64</v>
      </c>
      <c r="C98" s="3">
        <v>1</v>
      </c>
      <c r="D98" s="3">
        <v>1</v>
      </c>
      <c r="E98" s="3">
        <v>2</v>
      </c>
      <c r="F98" s="3"/>
      <c r="G98" s="17" t="s">
        <v>65</v>
      </c>
      <c r="H98" s="3">
        <v>3</v>
      </c>
      <c r="I98" s="3">
        <v>1</v>
      </c>
      <c r="J98" s="3">
        <v>4</v>
      </c>
      <c r="K98" s="3"/>
    </row>
    <row r="99" spans="2:11" hidden="1" x14ac:dyDescent="0.25">
      <c r="B99" s="17" t="s">
        <v>66</v>
      </c>
      <c r="C99" s="3">
        <v>2</v>
      </c>
      <c r="D99" s="3"/>
      <c r="E99" s="3">
        <v>2</v>
      </c>
      <c r="F99" s="3"/>
      <c r="G99" s="17" t="s">
        <v>67</v>
      </c>
      <c r="H99" s="3">
        <v>1</v>
      </c>
      <c r="I99" s="3"/>
      <c r="J99" s="3">
        <v>1</v>
      </c>
      <c r="K99" s="3"/>
    </row>
    <row r="100" spans="2:11" hidden="1" x14ac:dyDescent="0.25">
      <c r="B100" s="17" t="s">
        <v>68</v>
      </c>
      <c r="C100" s="3">
        <v>2</v>
      </c>
      <c r="D100" s="3">
        <v>1</v>
      </c>
      <c r="E100" s="3">
        <v>3</v>
      </c>
      <c r="F100" s="3"/>
      <c r="G100" s="17" t="s">
        <v>69</v>
      </c>
      <c r="H100" s="3"/>
      <c r="I100" s="3">
        <v>1</v>
      </c>
      <c r="J100" s="3">
        <v>1</v>
      </c>
      <c r="K100" s="3"/>
    </row>
    <row r="101" spans="2:11" hidden="1" x14ac:dyDescent="0.25">
      <c r="B101" s="17" t="s">
        <v>70</v>
      </c>
      <c r="C101" s="3"/>
      <c r="D101" s="3">
        <v>1</v>
      </c>
      <c r="E101" s="3">
        <v>1</v>
      </c>
      <c r="F101" s="3"/>
      <c r="G101" s="17" t="s">
        <v>71</v>
      </c>
      <c r="H101" s="3">
        <v>1</v>
      </c>
      <c r="I101" s="3">
        <v>1</v>
      </c>
      <c r="J101" s="3">
        <v>2</v>
      </c>
      <c r="K101" s="3"/>
    </row>
    <row r="102" spans="2:11" hidden="1" x14ac:dyDescent="0.25">
      <c r="B102" s="17" t="s">
        <v>62</v>
      </c>
      <c r="C102" s="3">
        <v>5</v>
      </c>
      <c r="D102" s="3">
        <v>3</v>
      </c>
      <c r="E102" s="3">
        <v>8</v>
      </c>
      <c r="F102" s="3"/>
      <c r="G102" s="17" t="s">
        <v>62</v>
      </c>
      <c r="H102" s="3">
        <v>5</v>
      </c>
      <c r="I102" s="3">
        <v>3</v>
      </c>
      <c r="J102" s="3">
        <v>8</v>
      </c>
      <c r="K102" s="3"/>
    </row>
    <row r="103" spans="2:11" hidden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2:11" hidden="1" x14ac:dyDescent="0.25">
      <c r="B104" s="3"/>
      <c r="C104" s="3"/>
      <c r="D104" s="3"/>
      <c r="F104" s="3"/>
      <c r="G104" s="3"/>
      <c r="H104" s="3"/>
      <c r="I104" s="3"/>
      <c r="J104" s="3"/>
      <c r="K104" s="3"/>
    </row>
    <row r="105" spans="2:11" x14ac:dyDescent="0.25">
      <c r="B105" s="3"/>
      <c r="C105" s="3"/>
      <c r="D105" s="3"/>
      <c r="F105" s="3"/>
      <c r="G105" s="3"/>
      <c r="H105" s="3"/>
      <c r="I105" s="3"/>
    </row>
    <row r="106" spans="2:11" x14ac:dyDescent="0.25">
      <c r="B106" s="3"/>
      <c r="C106" s="3"/>
      <c r="D106" s="3"/>
      <c r="F106" s="3"/>
      <c r="G106" s="3"/>
      <c r="H106" s="3"/>
      <c r="I106" s="3"/>
    </row>
    <row r="107" spans="2:11" x14ac:dyDescent="0.25">
      <c r="B107" s="3"/>
      <c r="C107" s="3"/>
      <c r="D107" s="3"/>
      <c r="F107" s="3"/>
      <c r="G107" s="3"/>
      <c r="H107" s="3"/>
      <c r="I107" s="3"/>
    </row>
    <row r="108" spans="2:11" x14ac:dyDescent="0.25">
      <c r="B108" s="3"/>
      <c r="C108" s="3"/>
      <c r="D108" s="3"/>
      <c r="F108" s="3"/>
      <c r="G108" s="3"/>
      <c r="H108" s="3"/>
      <c r="I108" s="3"/>
    </row>
    <row r="109" spans="2:11" x14ac:dyDescent="0.25">
      <c r="B109" s="3"/>
      <c r="C109" s="3"/>
      <c r="D109" s="3"/>
      <c r="F109" s="3"/>
      <c r="G109" s="3"/>
      <c r="H109" s="3"/>
      <c r="I109" s="3"/>
    </row>
    <row r="110" spans="2:11" x14ac:dyDescent="0.25">
      <c r="B110" s="3"/>
      <c r="C110" s="3"/>
      <c r="D110" s="3"/>
      <c r="F110" s="3"/>
      <c r="G110" s="3"/>
      <c r="H110" s="3"/>
      <c r="I110" s="3"/>
    </row>
    <row r="111" spans="2:11" x14ac:dyDescent="0.25">
      <c r="B111" s="3"/>
      <c r="C111" s="3"/>
      <c r="D111" s="3"/>
      <c r="F111" s="3"/>
      <c r="G111" s="3"/>
      <c r="H111" s="3"/>
      <c r="I111" s="3"/>
    </row>
    <row r="112" spans="2:11" x14ac:dyDescent="0.25">
      <c r="B112" s="3"/>
      <c r="C112" s="3"/>
      <c r="D112" s="3"/>
      <c r="F112" s="3"/>
      <c r="G112" s="3"/>
      <c r="H112" s="3"/>
      <c r="I112" s="3"/>
    </row>
    <row r="113" spans="2:9" x14ac:dyDescent="0.25">
      <c r="B113" s="3"/>
      <c r="C113" s="3"/>
      <c r="D113" s="3"/>
      <c r="F113" s="3"/>
      <c r="G113" s="3"/>
      <c r="H113" s="3"/>
      <c r="I113" s="3"/>
    </row>
    <row r="114" spans="2:9" x14ac:dyDescent="0.25">
      <c r="F114" s="3"/>
      <c r="G114" s="3"/>
      <c r="H114" s="3"/>
    </row>
    <row r="115" spans="2:9" x14ac:dyDescent="0.25">
      <c r="F115" s="3"/>
      <c r="G115" s="3"/>
      <c r="H115" s="3"/>
    </row>
    <row r="116" spans="2:9" x14ac:dyDescent="0.25">
      <c r="F116" s="3"/>
      <c r="G116" s="3"/>
      <c r="H116" s="3"/>
    </row>
    <row r="117" spans="2:9" x14ac:dyDescent="0.25">
      <c r="F117" s="3"/>
      <c r="G117" s="3"/>
      <c r="H117" s="3"/>
    </row>
    <row r="118" spans="2:9" x14ac:dyDescent="0.25">
      <c r="F118" s="3"/>
      <c r="G118" s="3"/>
      <c r="H118" s="3"/>
    </row>
  </sheetData>
  <mergeCells count="4">
    <mergeCell ref="E74:G74"/>
    <mergeCell ref="H3:I3"/>
    <mergeCell ref="H4:I4"/>
    <mergeCell ref="H5:I5"/>
  </mergeCells>
  <phoneticPr fontId="1" type="noConversion"/>
  <pageMargins left="0.7" right="0.7" top="0.75" bottom="0.75" header="0.3" footer="0.3"/>
  <pageSetup paperSize="8" scale="69" orientation="landscape" r:id="rId9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01ACA4B3991B4B884E17EC99D3D18E" ma:contentTypeVersion="14" ma:contentTypeDescription="Crée un document." ma:contentTypeScope="" ma:versionID="b1bc1e2a5a54d727388f7f032cefb2d2">
  <xsd:schema xmlns:xsd="http://www.w3.org/2001/XMLSchema" xmlns:xs="http://www.w3.org/2001/XMLSchema" xmlns:p="http://schemas.microsoft.com/office/2006/metadata/properties" xmlns:ns2="c8f72407-30b9-47f0-a7fc-b60ad6d018a3" xmlns:ns3="bc170e52-6e31-4ae5-a2fb-33871699a522" targetNamespace="http://schemas.microsoft.com/office/2006/metadata/properties" ma:root="true" ma:fieldsID="6f07a869802921661d75e03adcfe092a" ns2:_="" ns3:_="">
    <xsd:import namespace="c8f72407-30b9-47f0-a7fc-b60ad6d018a3"/>
    <xsd:import namespace="bc170e52-6e31-4ae5-a2fb-33871699a52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72407-30b9-47f0-a7fc-b60ad6d018a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47c3dd8-6df4-42f1-9f3c-74e0c0c70940}" ma:internalName="TaxCatchAll" ma:showField="CatchAllData" ma:web="c8f72407-30b9-47f0-a7fc-b60ad6d01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70e52-6e31-4ae5-a2fb-33871699a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56bf4310-bb0c-4729-a714-eb058939f7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170e52-6e31-4ae5-a2fb-33871699a522">
      <Terms xmlns="http://schemas.microsoft.com/office/infopath/2007/PartnerControls"/>
    </lcf76f155ced4ddcb4097134ff3c332f>
    <TaxCatchAll xmlns="c8f72407-30b9-47f0-a7fc-b60ad6d018a3" xsi:nil="true"/>
  </documentManagement>
</p:properties>
</file>

<file path=customXml/itemProps1.xml><?xml version="1.0" encoding="utf-8"?>
<ds:datastoreItem xmlns:ds="http://schemas.openxmlformats.org/officeDocument/2006/customXml" ds:itemID="{41324438-B7AF-4EEF-B48C-491CB0995B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f72407-30b9-47f0-a7fc-b60ad6d018a3"/>
    <ds:schemaRef ds:uri="bc170e52-6e31-4ae5-a2fb-33871699a5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E4C608-D643-48F9-A0C8-B72C79C71F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4EC2E8-5EE8-46D6-B0DC-11625E2154AE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c8f72407-30b9-47f0-a7fc-b60ad6d018a3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c170e52-6e31-4ae5-a2fb-33871699a5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7</vt:i4>
      </vt:variant>
    </vt:vector>
  </HeadingPairs>
  <TitlesOfParts>
    <vt:vector size="10" baseType="lpstr">
      <vt:lpstr>Mode d'emploi</vt:lpstr>
      <vt:lpstr>Données salariés</vt:lpstr>
      <vt:lpstr>Tableau de bord RH</vt:lpstr>
      <vt:lpstr>Contrat</vt:lpstr>
      <vt:lpstr>Contrat_1</vt:lpstr>
      <vt:lpstr>Département</vt:lpstr>
      <vt:lpstr>Département_1</vt:lpstr>
      <vt:lpstr>'Données salariés'!Zone_d_impression</vt:lpstr>
      <vt:lpstr>'Mode d''emploi'!Zone_d_impression</vt:lpstr>
      <vt:lpstr>'Tableau de bord RH'!Zone_d_impression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Romane LEROUX</dc:creator>
  <cp:keywords/>
  <dc:description/>
  <cp:lastModifiedBy>JOULIE NATHALIE</cp:lastModifiedBy>
  <cp:revision/>
  <cp:lastPrinted>2023-12-29T13:46:26Z</cp:lastPrinted>
  <dcterms:created xsi:type="dcterms:W3CDTF">2021-02-18T08:30:31Z</dcterms:created>
  <dcterms:modified xsi:type="dcterms:W3CDTF">2024-12-04T19:39:06Z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0x0101006D01ACA4B3991B4B884E17EC99D3D18E</vt:lpwstr>
  </property>
  <property fmtid="{D5CDD505-2E9C-101B-9397-08002B2CF9AE}" pid="3" name="MediaServiceImageTags">
    <vt:lpwstr/>
  </property>
</Properties>
</file>