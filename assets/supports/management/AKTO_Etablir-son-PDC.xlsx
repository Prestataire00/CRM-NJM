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d.docs.live.net/9584b74b320a978c/Documents/CONTENUS DE FORMATION/GESTION RH/Plan développement des compétences/"/>
    </mc:Choice>
  </mc:AlternateContent>
  <xr:revisionPtr revIDLastSave="0" documentId="8_{559B379A-AF47-4C6E-B8EC-AFE2C5EB4447}" xr6:coauthVersionLast="47" xr6:coauthVersionMax="47" xr10:uidLastSave="{00000000-0000-0000-0000-000000000000}"/>
  <workbookProtection workbookAlgorithmName="SHA-512" workbookHashValue="Isy3dKDvEXPDZHk7zs1Zz5Kv4zB/uIi9/Vrn180BbyJ8iK0c5YqLz2hkm08q2p+RndUYhg3j577+q+f1Il3BBg==" workbookSaltValue="X0sH9vqKl73u+DgiBs/gUQ==" workbookSpinCount="100000" lockStructure="1"/>
  <bookViews>
    <workbookView xWindow="-110" yWindow="-110" windowWidth="19420" windowHeight="12300" activeTab="1" xr2:uid="{3992B45A-7919-4A95-ABC3-9FBA7E036BDC}"/>
  </bookViews>
  <sheets>
    <sheet name="POUR DEMARRER" sheetId="4" r:id="rId1"/>
    <sheet name="PDC simplifié" sheetId="10" r:id="rId2"/>
    <sheet name="NOTICE simplifiée" sheetId="9" r:id="rId3"/>
    <sheet name="PDC-détaillé" sheetId="2" r:id="rId4"/>
    <sheet name="NOTICE détaillée" sheetId="5" r:id="rId5"/>
    <sheet name="Feuil1" sheetId="3" state="hidden" r:id="rId6"/>
  </sheets>
  <definedNames>
    <definedName name="_xlnm._FilterDatabase" localSheetId="1" hidden="1">'PDC simplifié'!$E$11:$R$13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9" i="10" l="1"/>
  <c r="S28" i="10"/>
  <c r="S27" i="10"/>
  <c r="S26" i="10"/>
  <c r="S25" i="10"/>
  <c r="S24" i="10"/>
  <c r="AG33" i="2"/>
  <c r="AC33" i="2"/>
  <c r="AB33" i="2"/>
  <c r="Y33" i="2"/>
  <c r="X33" i="2"/>
  <c r="W33" i="2"/>
  <c r="V33" i="2"/>
  <c r="U33" i="2"/>
  <c r="T33" i="2"/>
  <c r="N33" i="2"/>
  <c r="I33" i="2"/>
  <c r="H33" i="2"/>
  <c r="F33" i="2"/>
  <c r="E33" i="2"/>
  <c r="D33" i="2"/>
  <c r="C33" i="2"/>
  <c r="B33" i="2"/>
  <c r="A33" i="2"/>
  <c r="AG32" i="2"/>
  <c r="AC32" i="2"/>
  <c r="AB32" i="2"/>
  <c r="AH32" i="2" s="1"/>
  <c r="Y32" i="2"/>
  <c r="X32" i="2"/>
  <c r="W32" i="2"/>
  <c r="V32" i="2"/>
  <c r="U32" i="2"/>
  <c r="T32" i="2"/>
  <c r="N32" i="2"/>
  <c r="I32" i="2"/>
  <c r="H32" i="2"/>
  <c r="F32" i="2"/>
  <c r="E32" i="2"/>
  <c r="D32" i="2"/>
  <c r="C32" i="2"/>
  <c r="B32" i="2"/>
  <c r="A32" i="2"/>
  <c r="AG31" i="2"/>
  <c r="AC31" i="2"/>
  <c r="AB31" i="2"/>
  <c r="AH31" i="2" s="1"/>
  <c r="Y31" i="2"/>
  <c r="X31" i="2"/>
  <c r="W31" i="2"/>
  <c r="V31" i="2"/>
  <c r="U31" i="2"/>
  <c r="T31" i="2"/>
  <c r="N31" i="2"/>
  <c r="I31" i="2"/>
  <c r="H31" i="2"/>
  <c r="F31" i="2"/>
  <c r="E31" i="2"/>
  <c r="D31" i="2"/>
  <c r="C31" i="2"/>
  <c r="B31" i="2"/>
  <c r="A31" i="2"/>
  <c r="AG30" i="2"/>
  <c r="AC30" i="2"/>
  <c r="AB30" i="2"/>
  <c r="Y30" i="2"/>
  <c r="X30" i="2"/>
  <c r="W30" i="2"/>
  <c r="V30" i="2"/>
  <c r="U30" i="2"/>
  <c r="T30" i="2"/>
  <c r="N30" i="2"/>
  <c r="I30" i="2"/>
  <c r="H30" i="2"/>
  <c r="F30" i="2"/>
  <c r="E30" i="2"/>
  <c r="D30" i="2"/>
  <c r="C30" i="2"/>
  <c r="B30" i="2"/>
  <c r="A30" i="2"/>
  <c r="AH29" i="2"/>
  <c r="AG29" i="2"/>
  <c r="AC29" i="2"/>
  <c r="AB29" i="2"/>
  <c r="Y29" i="2"/>
  <c r="X29" i="2"/>
  <c r="W29" i="2"/>
  <c r="V29" i="2"/>
  <c r="U29" i="2"/>
  <c r="T29" i="2"/>
  <c r="N29" i="2"/>
  <c r="I29" i="2"/>
  <c r="H29" i="2"/>
  <c r="F29" i="2"/>
  <c r="E29" i="2"/>
  <c r="D29" i="2"/>
  <c r="C29" i="2"/>
  <c r="B29" i="2"/>
  <c r="A29" i="2"/>
  <c r="AG28" i="2"/>
  <c r="AC28" i="2"/>
  <c r="AB28" i="2"/>
  <c r="Y28" i="2"/>
  <c r="X28" i="2"/>
  <c r="W28" i="2"/>
  <c r="V28" i="2"/>
  <c r="U28" i="2"/>
  <c r="T28" i="2"/>
  <c r="N28" i="2"/>
  <c r="I28" i="2"/>
  <c r="H28" i="2"/>
  <c r="F28" i="2"/>
  <c r="E28" i="2"/>
  <c r="D28" i="2"/>
  <c r="C28" i="2"/>
  <c r="B28" i="2"/>
  <c r="A28" i="2"/>
  <c r="AH27" i="2"/>
  <c r="Y27" i="2"/>
  <c r="X27" i="2"/>
  <c r="W27" i="2"/>
  <c r="V27" i="2"/>
  <c r="U27" i="2"/>
  <c r="T27" i="2"/>
  <c r="N27" i="2"/>
  <c r="I27" i="2"/>
  <c r="H27" i="2"/>
  <c r="F27" i="2"/>
  <c r="E27" i="2"/>
  <c r="D27" i="2"/>
  <c r="C27" i="2"/>
  <c r="B27" i="2"/>
  <c r="A27" i="2"/>
  <c r="AG26" i="2"/>
  <c r="AC26" i="2"/>
  <c r="AB26" i="2"/>
  <c r="AH26" i="2" s="1"/>
  <c r="Y26" i="2"/>
  <c r="X26" i="2"/>
  <c r="W26" i="2"/>
  <c r="V26" i="2"/>
  <c r="U26" i="2"/>
  <c r="T26" i="2"/>
  <c r="N26" i="2"/>
  <c r="I26" i="2"/>
  <c r="H26" i="2"/>
  <c r="F26" i="2"/>
  <c r="E26" i="2"/>
  <c r="D26" i="2"/>
  <c r="C26" i="2"/>
  <c r="B26" i="2"/>
  <c r="A26" i="2"/>
  <c r="AG25" i="2"/>
  <c r="AC25" i="2"/>
  <c r="AB25" i="2"/>
  <c r="Y25" i="2"/>
  <c r="X25" i="2"/>
  <c r="W25" i="2"/>
  <c r="V25" i="2"/>
  <c r="U25" i="2"/>
  <c r="T25" i="2"/>
  <c r="N25" i="2"/>
  <c r="I25" i="2"/>
  <c r="H25" i="2"/>
  <c r="F25" i="2"/>
  <c r="E25" i="2"/>
  <c r="D25" i="2"/>
  <c r="C25" i="2"/>
  <c r="B25" i="2"/>
  <c r="A25" i="2"/>
  <c r="W24" i="2"/>
  <c r="A16" i="2"/>
  <c r="B16" i="2"/>
  <c r="C16" i="2"/>
  <c r="D16" i="2"/>
  <c r="E16" i="2"/>
  <c r="F16" i="2"/>
  <c r="H16" i="2"/>
  <c r="I16" i="2"/>
  <c r="N16" i="2"/>
  <c r="T16" i="2"/>
  <c r="U16" i="2"/>
  <c r="V16" i="2"/>
  <c r="W16" i="2"/>
  <c r="X16" i="2"/>
  <c r="Y16" i="2"/>
  <c r="AB16" i="2"/>
  <c r="AC16" i="2"/>
  <c r="AG16" i="2"/>
  <c r="A17" i="2"/>
  <c r="B17" i="2"/>
  <c r="C17" i="2"/>
  <c r="D17" i="2"/>
  <c r="E17" i="2"/>
  <c r="F17" i="2"/>
  <c r="H17" i="2"/>
  <c r="I17" i="2"/>
  <c r="N17" i="2"/>
  <c r="T17" i="2"/>
  <c r="U17" i="2"/>
  <c r="V17" i="2"/>
  <c r="W17" i="2"/>
  <c r="X17" i="2"/>
  <c r="Y17" i="2"/>
  <c r="AB17" i="2"/>
  <c r="AC17" i="2"/>
  <c r="AG17" i="2"/>
  <c r="A18" i="2"/>
  <c r="B18" i="2"/>
  <c r="C18" i="2"/>
  <c r="D18" i="2"/>
  <c r="E18" i="2"/>
  <c r="F18" i="2"/>
  <c r="H18" i="2"/>
  <c r="I18" i="2"/>
  <c r="N18" i="2"/>
  <c r="T18" i="2"/>
  <c r="U18" i="2"/>
  <c r="V18" i="2"/>
  <c r="W18" i="2"/>
  <c r="X18" i="2"/>
  <c r="Y18" i="2"/>
  <c r="AB18" i="2"/>
  <c r="AC18" i="2"/>
  <c r="AG18" i="2"/>
  <c r="AH18" i="2"/>
  <c r="A19" i="2"/>
  <c r="B19" i="2"/>
  <c r="C19" i="2"/>
  <c r="D19" i="2"/>
  <c r="E19" i="2"/>
  <c r="F19" i="2"/>
  <c r="H19" i="2"/>
  <c r="I19" i="2"/>
  <c r="N19" i="2"/>
  <c r="T19" i="2"/>
  <c r="U19" i="2"/>
  <c r="V19" i="2"/>
  <c r="W19" i="2"/>
  <c r="X19" i="2"/>
  <c r="Y19" i="2"/>
  <c r="AB19" i="2"/>
  <c r="AC19" i="2"/>
  <c r="AG19" i="2"/>
  <c r="A20" i="2"/>
  <c r="B20" i="2"/>
  <c r="C20" i="2"/>
  <c r="D20" i="2"/>
  <c r="E20" i="2"/>
  <c r="F20" i="2"/>
  <c r="H20" i="2"/>
  <c r="I20" i="2"/>
  <c r="N20" i="2"/>
  <c r="T20" i="2"/>
  <c r="U20" i="2"/>
  <c r="V20" i="2"/>
  <c r="W20" i="2"/>
  <c r="X20" i="2"/>
  <c r="Y20" i="2"/>
  <c r="AB20" i="2"/>
  <c r="AC20" i="2"/>
  <c r="AG20" i="2"/>
  <c r="A21" i="2"/>
  <c r="B21" i="2"/>
  <c r="C21" i="2"/>
  <c r="D21" i="2"/>
  <c r="E21" i="2"/>
  <c r="F21" i="2"/>
  <c r="H21" i="2"/>
  <c r="I21" i="2"/>
  <c r="N21" i="2"/>
  <c r="T21" i="2"/>
  <c r="U21" i="2"/>
  <c r="V21" i="2"/>
  <c r="W21" i="2"/>
  <c r="X21" i="2"/>
  <c r="Y21" i="2"/>
  <c r="AB21" i="2"/>
  <c r="AC21" i="2"/>
  <c r="AG21" i="2"/>
  <c r="AH21" i="2"/>
  <c r="A22" i="2"/>
  <c r="B22" i="2"/>
  <c r="C22" i="2"/>
  <c r="D22" i="2"/>
  <c r="E22" i="2"/>
  <c r="F22" i="2"/>
  <c r="H22" i="2"/>
  <c r="I22" i="2"/>
  <c r="N22" i="2"/>
  <c r="T22" i="2"/>
  <c r="U22" i="2"/>
  <c r="V22" i="2"/>
  <c r="W22" i="2"/>
  <c r="X22" i="2"/>
  <c r="Y22" i="2"/>
  <c r="AB22" i="2"/>
  <c r="AC22" i="2"/>
  <c r="AG22" i="2"/>
  <c r="A23" i="2"/>
  <c r="B23" i="2"/>
  <c r="C23" i="2"/>
  <c r="D23" i="2"/>
  <c r="E23" i="2"/>
  <c r="F23" i="2"/>
  <c r="H23" i="2"/>
  <c r="I23" i="2"/>
  <c r="N23" i="2"/>
  <c r="T23" i="2"/>
  <c r="U23" i="2"/>
  <c r="V23" i="2"/>
  <c r="W23" i="2"/>
  <c r="X23" i="2"/>
  <c r="Y23" i="2"/>
  <c r="AB23" i="2"/>
  <c r="AC23" i="2"/>
  <c r="AG23" i="2"/>
  <c r="A24" i="2"/>
  <c r="B24" i="2"/>
  <c r="C24" i="2"/>
  <c r="D24" i="2"/>
  <c r="E24" i="2"/>
  <c r="F24" i="2"/>
  <c r="H24" i="2"/>
  <c r="I24" i="2"/>
  <c r="N24" i="2"/>
  <c r="T24" i="2"/>
  <c r="U24" i="2"/>
  <c r="V24" i="2"/>
  <c r="X24" i="2"/>
  <c r="Y24" i="2"/>
  <c r="AB24" i="2"/>
  <c r="AH24" i="2" s="1"/>
  <c r="AC24" i="2"/>
  <c r="AG24" i="2"/>
  <c r="Y15" i="2"/>
  <c r="S14" i="10"/>
  <c r="S15" i="10"/>
  <c r="S16" i="10"/>
  <c r="S17" i="10"/>
  <c r="S18" i="10"/>
  <c r="S19" i="10"/>
  <c r="S20" i="10"/>
  <c r="S21" i="10"/>
  <c r="S22" i="10"/>
  <c r="S23" i="10"/>
  <c r="S13" i="10"/>
  <c r="W15" i="2"/>
  <c r="X15" i="2"/>
  <c r="V15" i="2"/>
  <c r="AH28" i="2" l="1"/>
  <c r="AH30" i="2"/>
  <c r="AH23" i="2"/>
  <c r="AH16" i="2"/>
  <c r="AH25" i="2"/>
  <c r="AH33" i="2"/>
  <c r="AH17" i="2"/>
  <c r="AH22" i="2"/>
  <c r="AH20" i="2"/>
  <c r="AH19" i="2"/>
  <c r="H15" i="2"/>
  <c r="A15" i="2"/>
  <c r="I15" i="2"/>
  <c r="AD35" i="2" l="1"/>
  <c r="AE35" i="2"/>
  <c r="AF35" i="2"/>
  <c r="AH14" i="2" l="1"/>
  <c r="AG15" i="2"/>
  <c r="AB15" i="2"/>
  <c r="AC15" i="2"/>
  <c r="AC35" i="2" l="1"/>
  <c r="AB35" i="2"/>
  <c r="AG35" i="2"/>
  <c r="AH15" i="2"/>
  <c r="AH35" i="2" s="1"/>
  <c r="Q31" i="10"/>
  <c r="R31" i="10"/>
  <c r="P31" i="10"/>
  <c r="U15" i="2"/>
  <c r="T15" i="2"/>
  <c r="N15" i="2"/>
  <c r="F15" i="2"/>
  <c r="E15" i="2"/>
  <c r="C15" i="2"/>
  <c r="B15" i="2"/>
  <c r="S12" i="10"/>
  <c r="S31" i="10" l="1"/>
  <c r="D1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0B707-3EC3-4B7E-89CB-C50DC9F8E7E8}" keepAlive="1" name="Requête - Données fiche" description="Connexion à la requête « Données fiche » dans le classeur." type="5" refreshedVersion="0" background="1" saveData="1">
    <dbPr connection="Provider=Microsoft.Mashup.OleDb.1;Data Source=$Workbook$;Location=&quot;Données fiche&quot;;Extended Properties=&quot;&quot;" command="SELECT * FROM [Données fiche]"/>
  </connection>
</connections>
</file>

<file path=xl/sharedStrings.xml><?xml version="1.0" encoding="utf-8"?>
<sst xmlns="http://schemas.openxmlformats.org/spreadsheetml/2006/main" count="401" uniqueCount="279">
  <si>
    <t>Comment faire une demande de Prise en Charge ?</t>
  </si>
  <si>
    <r>
      <rPr>
        <b/>
        <sz val="11"/>
        <color theme="0"/>
        <rFont val="Arial"/>
        <family val="2"/>
      </rPr>
      <t>Le plan de développement des compétences : un levier de performance</t>
    </r>
    <r>
      <rPr>
        <sz val="11"/>
        <color theme="0"/>
        <rFont val="Arial"/>
        <family val="2"/>
      </rPr>
      <t xml:space="preserve">
</t>
    </r>
    <r>
      <rPr>
        <sz val="10"/>
        <color theme="0"/>
        <rFont val="Arial"/>
        <family val="2"/>
      </rPr>
      <t xml:space="preserve">L’employeur a deux obligations en matière de formation professionnelle : l’adaptation au poste de travail et le maintien dans l’emploi des salariés. Pour y répondre, il existe le plan de développement des compétences. Remplaçant depuis le 1er janvier 2019 le « plan de formation », le plan de développement des compétences est bien plus qu'une simple réponse légale : il fait entrer l'entreprise dans une logique d'anticipation proactive. </t>
    </r>
  </si>
  <si>
    <t>RAISON SOCIALE</t>
  </si>
  <si>
    <r>
      <t>N° adhérent AKTO</t>
    </r>
    <r>
      <rPr>
        <i/>
        <sz val="11"/>
        <color theme="0"/>
        <rFont val="Calibri"/>
        <family val="2"/>
      </rPr>
      <t xml:space="preserve"> (N° SIRET  si inconnu)</t>
    </r>
  </si>
  <si>
    <t>Branche</t>
  </si>
  <si>
    <t>FORMATION</t>
  </si>
  <si>
    <t>ORGANISME</t>
  </si>
  <si>
    <t>COUTS</t>
  </si>
  <si>
    <t>INTITULE FORMATION</t>
  </si>
  <si>
    <t>DATE DEBUT</t>
  </si>
  <si>
    <t>DATE FIN</t>
  </si>
  <si>
    <t>DUREE H</t>
  </si>
  <si>
    <t>TYPE FORMATION</t>
  </si>
  <si>
    <t>DOMAINE</t>
  </si>
  <si>
    <t>CERTIFIANT</t>
  </si>
  <si>
    <t>RNCP</t>
  </si>
  <si>
    <t>RAISON SOCIALE OF</t>
  </si>
  <si>
    <t>SIRET OF</t>
  </si>
  <si>
    <t>NDA</t>
  </si>
  <si>
    <t>ADRESSE 1 OF</t>
  </si>
  <si>
    <t>ADRESSE 2 OF</t>
  </si>
  <si>
    <t>CP OF</t>
  </si>
  <si>
    <t>VILLE OF</t>
  </si>
  <si>
    <t>CSP</t>
  </si>
  <si>
    <t>COUT PEDAGOGIQUE</t>
  </si>
  <si>
    <t>REMUNERATION</t>
  </si>
  <si>
    <t>HEBERGEMENT</t>
  </si>
  <si>
    <t>REPAS</t>
  </si>
  <si>
    <t>TRANSPORT</t>
  </si>
  <si>
    <t>DIVERS</t>
  </si>
  <si>
    <t>13/02/2023</t>
  </si>
  <si>
    <t>14/02/2023</t>
  </si>
  <si>
    <t>7</t>
  </si>
  <si>
    <t>Externe INTRA</t>
  </si>
  <si>
    <t>21570</t>
  </si>
  <si>
    <t xml:space="preserve">AGROALIMENTAIRE                              </t>
  </si>
  <si>
    <t xml:space="preserve">HYDIAC                                       </t>
  </si>
  <si>
    <t xml:space="preserve">75210179000034      </t>
  </si>
  <si>
    <t xml:space="preserve">53350912935         </t>
  </si>
  <si>
    <t xml:space="preserve">4   B RUE DU BIGNON                     </t>
  </si>
  <si>
    <t xml:space="preserve">CENTRE D'AFFAIRE B2                     </t>
  </si>
  <si>
    <t xml:space="preserve">35000 </t>
  </si>
  <si>
    <t xml:space="preserve">RENNES                            </t>
  </si>
  <si>
    <t>Ouvrier non qualifié</t>
  </si>
  <si>
    <t>*</t>
  </si>
  <si>
    <t>Données obligatoires dans la cadre d'une demande de prise en charge par un OPCO et télétransmises auprès des services d'état</t>
  </si>
  <si>
    <t>données complémentaires</t>
  </si>
  <si>
    <t>Renseigner l'intitulé de l'action de formation ou d'alternance</t>
  </si>
  <si>
    <t>Date du 1er jour de formation</t>
  </si>
  <si>
    <t>Date du dernier jour de formation</t>
  </si>
  <si>
    <t>durée totale de la formation en heure</t>
  </si>
  <si>
    <t>indiquer s'il s'agit d'une action de formation :
- interne à l'entreprise avec un formateur de l'entreprise,
- Intra à l'entreprise (en général dans les locaux de l'entreprise) et concernant un public de l'entreprise, le formateur est extérieur à l'entreprise,
- Inter à l'entreprise (en général hors des locaux de l'entreprise) et concernant un public de diverses provenance, le formateur est extérieur à l'entreprise.</t>
  </si>
  <si>
    <t>menu déroulant</t>
  </si>
  <si>
    <t>Le Formacode® est un outil d’indexation et de référence pour tous les acteurs de la formation professionnelle et permettant la recherche d’information dans un système documentaire, sur tous supports.
Le Formacode® est utile aux entreprises, organismes de formation, gestionnaires, financeurs, aux relais d’information sur la formation professionnelle, aux conseillers d’orientation.
renseigner le code à 5 chiffres</t>
  </si>
  <si>
    <t>alphnumérique 5 position</t>
  </si>
  <si>
    <t>Correspond à l'un des 65 champs sémantiques du FORMACODE</t>
  </si>
  <si>
    <t>Oui/Non</t>
  </si>
  <si>
    <t>Renseigner la raison sociale de l'organisme de formation correspondant à la convention de formation</t>
  </si>
  <si>
    <t>indiquer le n° SIRET de l'organisme de formation correspondant à la convention de formation</t>
  </si>
  <si>
    <t>Adresse de l'organisme de formation</t>
  </si>
  <si>
    <t>Complément d'adresse de l'organisme de formation (batiment, étage, zone d'activité … etc.)</t>
  </si>
  <si>
    <t>Code postal de l'organisme de formation</t>
  </si>
  <si>
    <t>00000</t>
  </si>
  <si>
    <t>Ville de l'organisme de formation</t>
  </si>
  <si>
    <t>Catégorie Sociale du salarié</t>
  </si>
  <si>
    <t>Coût en euros de l'action de formation indiquée à la convention de formation</t>
  </si>
  <si>
    <t>Coût de frais d'hébergement du salarié dépendant de la participation à l'action de formation, hôtel …</t>
  </si>
  <si>
    <t xml:space="preserve">Coût de frais de restauration du salarié dépendant de la participation à l'action de formation, restaurant, plateaux repas … </t>
  </si>
  <si>
    <t>Coût de frais de déplacement du salarié dépendant de la participation à l'action de formation, Train, frais kilométriques, transport en commun ...  pour se rendre à la formation.</t>
  </si>
  <si>
    <t>Coût de frais divers du salarié dépendant de la participation à l'action de formation</t>
  </si>
  <si>
    <t>Type de formation</t>
  </si>
  <si>
    <t>Domaine</t>
  </si>
  <si>
    <t>RESTAURATION FERROVIAIRE</t>
  </si>
  <si>
    <t>ACTION SOCIALE</t>
  </si>
  <si>
    <t>COMMERCES DE QUINCAILLERIE</t>
  </si>
  <si>
    <t>Ouvrier qualifié et HQ</t>
  </si>
  <si>
    <t>ACTIVITE PHYSIQUE ET SPORTIVE</t>
  </si>
  <si>
    <t>MANUTENTION ET NETTOYAGE AÉROPORTUAIRE</t>
  </si>
  <si>
    <t>Employé</t>
  </si>
  <si>
    <t>AGRICULTURE PRODUCTION VEGETALE</t>
  </si>
  <si>
    <t>CAFÉTÉRIAS</t>
  </si>
  <si>
    <t>Agent de maîtrise</t>
  </si>
  <si>
    <t>AGROALIMENTAIRE</t>
  </si>
  <si>
    <t>PORTAGE SALARIAL</t>
  </si>
  <si>
    <t>Technicien</t>
  </si>
  <si>
    <t>ART</t>
  </si>
  <si>
    <t>PERSONNEL DE L'ÉGLISE</t>
  </si>
  <si>
    <t>Ingénieur, cadre</t>
  </si>
  <si>
    <t>ARTISANAT ART</t>
  </si>
  <si>
    <t>EXPLOITATIONS FORESTIÈRES ET SCIERIES AGRICOLES</t>
  </si>
  <si>
    <t>Dirigeant salarié</t>
  </si>
  <si>
    <t>AUDIOVISUEL MULTIMEDIA</t>
  </si>
  <si>
    <t>SERVICE DE L'EAU ET ASSAINISSEMENT</t>
  </si>
  <si>
    <t>AUTOMATISME INFORMATIQUE INDUSTRIELLE</t>
  </si>
  <si>
    <t>AUTOROUTES</t>
  </si>
  <si>
    <t>BANQUE ASSURANCE</t>
  </si>
  <si>
    <t>TRAVAIL MÉCANIQUE DU BOIS</t>
  </si>
  <si>
    <t>BATIMENT GROS OEUVRE</t>
  </si>
  <si>
    <t>ENSEIGNEMENT PRIVÉ NON LUCRATIF</t>
  </si>
  <si>
    <t>BATIMENT SECOND OEUVRE</t>
  </si>
  <si>
    <t>ENSEIGNEMENT PRIVÉ INDÉPENDANT</t>
  </si>
  <si>
    <t>BTP CONCEPTION ORGANISATION</t>
  </si>
  <si>
    <t>ENTRETIEN ET LOCATION TEXTILE</t>
  </si>
  <si>
    <t>CHIMIE</t>
  </si>
  <si>
    <t>HÔTELS, CAFÉS, RESTAURANTS</t>
  </si>
  <si>
    <t>COMMERCE</t>
  </si>
  <si>
    <t>COMMERCES DE GROS</t>
  </si>
  <si>
    <t>COMMERCE INTERNATIONAL</t>
  </si>
  <si>
    <t>INTERPROFESSION</t>
  </si>
  <si>
    <t>COMMUNICATION ET INFORMATION</t>
  </si>
  <si>
    <t>ORGANISME DE FORMATION</t>
  </si>
  <si>
    <t>CUIR PEAU</t>
  </si>
  <si>
    <t>PRÉVENTION, SÉCURITÉ</t>
  </si>
  <si>
    <t>DEVELOPPEMENT PROFESSIONNEL ET PERSONNEL</t>
  </si>
  <si>
    <t>PROPRETÉ ET SERVICES</t>
  </si>
  <si>
    <t>DROIT</t>
  </si>
  <si>
    <t>RESTAURATION COLLECTIVE</t>
  </si>
  <si>
    <t>DROIT FISCAL</t>
  </si>
  <si>
    <t>RESTAURATION RAPIDE</t>
  </si>
  <si>
    <t>ECONOMIE</t>
  </si>
  <si>
    <t>TRANSPORT ET TRAVAIL AÉRIEN</t>
  </si>
  <si>
    <t>ELECTRICITE</t>
  </si>
  <si>
    <t>TRAVAIL TEMPORAIRE</t>
  </si>
  <si>
    <t>ELECTRONIQUE</t>
  </si>
  <si>
    <t>ENCADREMENT MANAGEMENT</t>
  </si>
  <si>
    <t>ENERGIE</t>
  </si>
  <si>
    <t>ENVIRONNEMENT AMENAGEMENT</t>
  </si>
  <si>
    <t>GENIE CLIMATIQUE</t>
  </si>
  <si>
    <t>GENIE INDUSTRIEL</t>
  </si>
  <si>
    <t>GESTION COMMERCIALE ACHATS</t>
  </si>
  <si>
    <t>GESTION FINANCIERE COMPTABILITE</t>
  </si>
  <si>
    <t>GESTION ORGANISATIONS</t>
  </si>
  <si>
    <t>GESTION QUALITE</t>
  </si>
  <si>
    <t>HABILLEMENT</t>
  </si>
  <si>
    <t>HOTELLERIE RESTAURATION</t>
  </si>
  <si>
    <t>IMMOBILIER</t>
  </si>
  <si>
    <t>INDUSTRIE GRAPHIQUE IMPRIMERIE</t>
  </si>
  <si>
    <t>INFORMATIQUE ET SYSTEMES D'INFORMATION</t>
  </si>
  <si>
    <t>INGENIERIE FORMATION PEDAGOGIE</t>
  </si>
  <si>
    <t>LANGAGES INFORMATIQUES</t>
  </si>
  <si>
    <t>LANGUES</t>
  </si>
  <si>
    <t>MANUTENTION</t>
  </si>
  <si>
    <t>MATERIAU PRODUIT CHIMIQUE</t>
  </si>
  <si>
    <t>MATHEMATIQUES</t>
  </si>
  <si>
    <t>MECANIQUE CONSTRUCTION REPARATION</t>
  </si>
  <si>
    <t>MECANIQUE THEORIQUE</t>
  </si>
  <si>
    <t>MEDECINE</t>
  </si>
  <si>
    <t>PECHE AQUACULTURE</t>
  </si>
  <si>
    <t>PHYSIQUE</t>
  </si>
  <si>
    <t>PREVENTION SECURITE</t>
  </si>
  <si>
    <t>PSYCHOLOGIE</t>
  </si>
  <si>
    <t>QUALITE INDUSTRIELLE</t>
  </si>
  <si>
    <t>RESSOURCES HUMAINES</t>
  </si>
  <si>
    <t>SANTE</t>
  </si>
  <si>
    <t>SCIENCE POLITIQUE</t>
  </si>
  <si>
    <t>SCIENCES DE LA TERRE</t>
  </si>
  <si>
    <t>SCIENCES HUMAINES</t>
  </si>
  <si>
    <t>SCIENCES NATURELLES</t>
  </si>
  <si>
    <t>SECRETARIAT ASSISTANAT</t>
  </si>
  <si>
    <t>SERVICES COMMERCES PROXIMITE</t>
  </si>
  <si>
    <t>TELECOMMUNICATION</t>
  </si>
  <si>
    <t>TEXTILE</t>
  </si>
  <si>
    <t>TOURISME</t>
  </si>
  <si>
    <t>TRAVAIL MATERIAU</t>
  </si>
  <si>
    <t>TRAVAUX PUBLICS</t>
  </si>
  <si>
    <r>
      <t xml:space="preserve">FORMACODE
</t>
    </r>
    <r>
      <rPr>
        <b/>
        <i/>
        <sz val="9"/>
        <color theme="0"/>
        <rFont val="Calibri"/>
        <family val="2"/>
        <scheme val="minor"/>
      </rPr>
      <t>Centre Inffo</t>
    </r>
  </si>
  <si>
    <t>Externe</t>
  </si>
  <si>
    <t>Interne</t>
  </si>
  <si>
    <r>
      <t xml:space="preserve">Pour faire vos demandes de prise en charge, connectez-vous à </t>
    </r>
    <r>
      <rPr>
        <b/>
        <sz val="9"/>
        <color rgb="FF00A79B"/>
        <rFont val="Arial"/>
        <family val="2"/>
      </rPr>
      <t>M</t>
    </r>
    <r>
      <rPr>
        <b/>
        <sz val="9"/>
        <color rgb="FF00A79B"/>
        <rFont val="Arial Nova"/>
        <family val="2"/>
      </rPr>
      <t>on</t>
    </r>
    <r>
      <rPr>
        <sz val="9"/>
        <color theme="0"/>
        <rFont val="Arial Nova"/>
        <family val="2"/>
      </rPr>
      <t xml:space="preserve"> Espace</t>
    </r>
  </si>
  <si>
    <r>
      <t>indiquer le n° de</t>
    </r>
    <r>
      <rPr>
        <b/>
        <sz val="9"/>
        <color rgb="FFFF6707"/>
        <rFont val="Arial"/>
        <family val="2"/>
      </rPr>
      <t xml:space="preserve"> Déclaration d'activité des formateurs ou organismes de formation</t>
    </r>
    <r>
      <rPr>
        <sz val="9"/>
        <color rgb="FFFF6707"/>
        <rFont val="Arial"/>
        <family val="2"/>
      </rPr>
      <t xml:space="preserve"> (NDA) indiqué à la convention de formation</t>
    </r>
  </si>
  <si>
    <r>
      <t>Rémunération du salarié correspondant à la durée de formation
(</t>
    </r>
    <r>
      <rPr>
        <i/>
        <sz val="9"/>
        <color rgb="FFFF6707"/>
        <rFont val="Arial"/>
        <family val="2"/>
      </rPr>
      <t>en général = coût horaire X durée en H X taux de charges patronales x taux de congés</t>
    </r>
    <r>
      <rPr>
        <sz val="9"/>
        <color rgb="FFFF6707"/>
        <rFont val="Arial"/>
        <family val="2"/>
      </rPr>
      <t>)</t>
    </r>
  </si>
  <si>
    <t>Oui</t>
  </si>
  <si>
    <t>Non</t>
  </si>
  <si>
    <t>Réponse</t>
  </si>
  <si>
    <t>RENNES</t>
  </si>
  <si>
    <t>X0001</t>
  </si>
  <si>
    <t>Externe INTER</t>
  </si>
  <si>
    <t>INTERNE</t>
  </si>
  <si>
    <t>N° de dossier</t>
  </si>
  <si>
    <t>Intitulé Formation</t>
  </si>
  <si>
    <t>Date début</t>
  </si>
  <si>
    <t>Date fin</t>
  </si>
  <si>
    <t>Durée en heures</t>
  </si>
  <si>
    <t>Formation obligatoire</t>
  </si>
  <si>
    <t>Raison sociale OF</t>
  </si>
  <si>
    <t>Ville OF</t>
  </si>
  <si>
    <r>
      <t xml:space="preserve">Rémunération du salarié correspondant à la durée de formation
</t>
    </r>
    <r>
      <rPr>
        <b/>
        <sz val="9"/>
        <rFont val="Calibri"/>
        <family val="2"/>
      </rPr>
      <t>(</t>
    </r>
    <r>
      <rPr>
        <i/>
        <sz val="9"/>
        <rFont val="Arial"/>
        <family val="2"/>
      </rPr>
      <t>en général = coût horaire X durée en H X taux de charges patronales x taux de congés</t>
    </r>
    <r>
      <rPr>
        <sz val="9"/>
        <rFont val="Arial"/>
        <family val="2"/>
      </rPr>
      <t>)</t>
    </r>
  </si>
  <si>
    <t>BUDGET</t>
  </si>
  <si>
    <t>Action co</t>
  </si>
  <si>
    <t>Budget</t>
  </si>
  <si>
    <t>Actions Collectives</t>
  </si>
  <si>
    <t>Fonds alternance</t>
  </si>
  <si>
    <t>Fonds PDC</t>
  </si>
  <si>
    <t>FINANCEMENTS AUTRES</t>
  </si>
  <si>
    <t>CPF</t>
  </si>
  <si>
    <t>Fonds conventionnels</t>
  </si>
  <si>
    <t>Salarié</t>
  </si>
  <si>
    <t>Pôle Emploi</t>
  </si>
  <si>
    <t>région</t>
  </si>
  <si>
    <t>LIEU</t>
  </si>
  <si>
    <t>Présentiel</t>
  </si>
  <si>
    <t>lieu</t>
  </si>
  <si>
    <t>Distanciel</t>
  </si>
  <si>
    <t>Dispositif</t>
  </si>
  <si>
    <t>DISPOSITIF</t>
  </si>
  <si>
    <t>Contrat apprentissage</t>
  </si>
  <si>
    <t>Contrat de professionnalisation</t>
  </si>
  <si>
    <t>Contrat pro expérimental</t>
  </si>
  <si>
    <t>Dispositif Insertion par le sport</t>
  </si>
  <si>
    <t>Hope</t>
  </si>
  <si>
    <t xml:space="preserve">Mission Jeunes </t>
  </si>
  <si>
    <t>POEC</t>
  </si>
  <si>
    <t>POEI (Voir tiers de confiance AKTO)</t>
  </si>
  <si>
    <t>Pro-A</t>
  </si>
  <si>
    <t>Prodiat</t>
  </si>
  <si>
    <t>VAE</t>
  </si>
  <si>
    <t>VAE inversée</t>
  </si>
  <si>
    <t>Action de formation</t>
  </si>
  <si>
    <t>Bilan de compétences</t>
  </si>
  <si>
    <t>QUALIOPI</t>
  </si>
  <si>
    <t>EDEC</t>
  </si>
  <si>
    <t>FNE</t>
  </si>
  <si>
    <t>Versement volontaire</t>
  </si>
  <si>
    <t>N° de Dossier</t>
  </si>
  <si>
    <t>FORMATION OBLIGATOIRE</t>
  </si>
  <si>
    <t>NON</t>
  </si>
  <si>
    <t>FINANCEMENTS</t>
  </si>
  <si>
    <t>SOUS-TOTAL</t>
  </si>
  <si>
    <t>TOTAL :</t>
  </si>
  <si>
    <t>eXemple 001</t>
  </si>
  <si>
    <t>HYGIENE AGROALIMENTAIRE</t>
  </si>
  <si>
    <t>BENEFICIAIRES DE LA FORMATION Groupe</t>
  </si>
  <si>
    <t>Type de contrat</t>
  </si>
  <si>
    <t>Contrat</t>
  </si>
  <si>
    <t xml:space="preserve">CDD </t>
  </si>
  <si>
    <t>CDI</t>
  </si>
  <si>
    <t>Le salarié a-t-il déjà bénéficier d'une formation non-obligatoire depuis 6 ans ?</t>
  </si>
  <si>
    <t>BENEFICIAIRE DE LA FORMATION Individuel</t>
  </si>
  <si>
    <t>Nbre de stagiaires</t>
  </si>
  <si>
    <t>NBRE DE STAGIAIRES</t>
  </si>
  <si>
    <t>TYPE DE CONTRAT</t>
  </si>
  <si>
    <t>FORMATION NON-OBLIGATOIRE  DEPUIS 6 ANS</t>
  </si>
  <si>
    <t>Indiquer si le salarié a eu une formation non-obligatoire au cours des 6 dernières années</t>
  </si>
  <si>
    <t>Préciser le type de contrat de travail du salarié en formation</t>
  </si>
  <si>
    <t>POUR UNE FORMATION INDIVIDUELLE</t>
  </si>
  <si>
    <t>POUR UNE FORMATION EN GROUPE</t>
  </si>
  <si>
    <t xml:space="preserve">Renseigner le n° de dossier AKTO </t>
  </si>
  <si>
    <r>
      <t xml:space="preserve">Accédez à votre espace
</t>
    </r>
    <r>
      <rPr>
        <b/>
        <sz val="11"/>
        <color theme="0"/>
        <rFont val="Arial"/>
        <family val="2"/>
      </rPr>
      <t>Employeurs, experts-comptables, organismes de formation, accédez en quelques clics à vos outils en ligne.</t>
    </r>
  </si>
  <si>
    <t>CIPI</t>
  </si>
  <si>
    <t>CDII</t>
  </si>
  <si>
    <r>
      <t xml:space="preserve">Le RNCP (Répertoire national des certifications professionnelles) recense la liste de tous les diplômes et titres à vocation professionnelle. L'inscription au RNCP atteste d'un niveau de qualification officiel.
Informations FRANCE COMPETENCES : https://www.francecompetences.fr/recherche-resultats/
</t>
    </r>
    <r>
      <rPr>
        <b/>
        <sz val="9"/>
        <color rgb="FFFF6707"/>
        <rFont val="Arial"/>
        <family val="2"/>
      </rPr>
      <t>Obligatoire si l'action de formation est certifiante</t>
    </r>
  </si>
  <si>
    <t>CDPI</t>
  </si>
  <si>
    <t>Préciser le nombre de vos salariés bénéficiant de la formation en groupe</t>
  </si>
  <si>
    <t>indiquer s'il s'agit d'une action de formation :
- Interne : le formateur et le lieu de formation sont de l'entreprise
- Externe : le formateur et le lieu de formation sont extérieurs à l'entreprise
- Intra : Le formateur est extérieur et le lieu de formation est dans l'entreprise</t>
  </si>
  <si>
    <t>Menu déroulant permettant de choisir parmi un référentiel défini</t>
  </si>
  <si>
    <t xml:space="preserve">Préciser le nombre de vos salariés bénéficiant de la formation </t>
  </si>
  <si>
    <t>Les formations certifiantes ou qualifiantes sont celles qui mènent à un diplôme d’Etat, un titre ou une certification de qualification professionnelle (CQP), Il s’agit de
certifications enregistrées au Répertoire National des Certifications Professionnelles (RNCP).</t>
  </si>
  <si>
    <t>Mail de mon conseiller</t>
  </si>
  <si>
    <t>Mon conseiller AKTO</t>
  </si>
  <si>
    <t>Téléphone de mon conseiller</t>
  </si>
  <si>
    <t xml:space="preserve">Rémunération
</t>
  </si>
  <si>
    <t xml:space="preserve">Divers
</t>
  </si>
  <si>
    <t>Le salarié a-t-il déjà bénéficié d'une formation non-obligatoire depuis 6 ans ?</t>
  </si>
  <si>
    <t>Code RNCP
(Si concerné)</t>
  </si>
  <si>
    <r>
      <t xml:space="preserve">FORMACODE
</t>
    </r>
    <r>
      <rPr>
        <b/>
        <i/>
        <sz val="10"/>
        <color theme="0"/>
        <rFont val="Calibri"/>
        <family val="2"/>
        <scheme val="minor"/>
      </rPr>
      <t>Centre Inffo</t>
    </r>
  </si>
  <si>
    <r>
      <t xml:space="preserve">CODE RNCP
</t>
    </r>
    <r>
      <rPr>
        <b/>
        <i/>
        <sz val="10"/>
        <color theme="0"/>
        <rFont val="Calibri"/>
        <family val="2"/>
        <scheme val="minor"/>
      </rPr>
      <t>France Compétences</t>
    </r>
  </si>
  <si>
    <t>Lieu de formation</t>
  </si>
  <si>
    <t>COÛTS</t>
  </si>
  <si>
    <r>
      <rPr>
        <b/>
        <sz val="20"/>
        <color theme="0"/>
        <rFont val="Arial"/>
        <family val="2"/>
      </rPr>
      <t>Les avantages d’établir un plan de développement des compétences :</t>
    </r>
    <r>
      <rPr>
        <sz val="16"/>
        <color theme="0"/>
        <rFont val="Arial"/>
        <family val="2"/>
      </rPr>
      <t xml:space="preserve">
• 	Attirer et fidéliser les talents en renvoyant l’image d’une entreprise dynamique qui facilite l’évolution professionnelle des salariés 
•	 Rester compétitif en anticipant les compétences dont vous aurez besoin face aux transformations sociales, numériques et environnementales
•	 Organiser et formaliser annuellement les actions de formation à destination des salariés
•	 Faciliter la préparation des entretiens professionnels, obligatoires tous les 2 ans.</t>
    </r>
  </si>
  <si>
    <r>
      <t xml:space="preserve">Tout ce qu'il faut savoir sur le Plan de </t>
    </r>
    <r>
      <rPr>
        <i/>
        <sz val="12"/>
        <color rgb="FFFFA807"/>
        <rFont val="Arial"/>
        <family val="2"/>
      </rPr>
      <t>Développement des Compétences</t>
    </r>
    <r>
      <rPr>
        <i/>
        <sz val="12"/>
        <color theme="0"/>
        <rFont val="Arial"/>
        <family val="2"/>
      </rPr>
      <t xml:space="preserve"> se trouve </t>
    </r>
    <r>
      <rPr>
        <i/>
        <sz val="12"/>
        <color rgb="FF49F0B1"/>
        <rFont val="Arial"/>
        <family val="2"/>
      </rPr>
      <t>ICI</t>
    </r>
  </si>
  <si>
    <r>
      <rPr>
        <b/>
        <sz val="20"/>
        <color theme="0"/>
        <rFont val="Arial"/>
        <family val="2"/>
      </rPr>
      <t xml:space="preserve">A quoi sert le plan de développement des compétences ? </t>
    </r>
    <r>
      <rPr>
        <sz val="16"/>
        <color theme="0"/>
        <rFont val="Arial"/>
        <family val="2"/>
      </rPr>
      <t xml:space="preserve">
Le plan est un outil qui présente l'ensemble des formations décidées pour l'année à venir, compte tenu des priorités stratégiques de votre organisation et des besoins de formation de vos salariés recueillis lors des entretiens professionnels.
Il contient généralement : 
• 	les formations obligatoires : indispensables à l'exercice d’une activité ou d’une fonction (habilitations, certificats d'aptitude, prévention en matière d’hygiène et de sécurité au travail...)
• 	les autres actions de formation : adaptation au poste de travail, montée en compétences et en qualification, actions de professionnalisation, apprentissage, validations des acquis de l'expérience (VAE), bilans de compétences, lutte contre l'illettrisme...
L'outil qui vous est proposé ici est un modèle de plan de développement des compétences. </t>
    </r>
  </si>
  <si>
    <t>Ce fichier n'est pas une demande de prise en charge mais un outil d'aide à l'inventaire de vos besoins en formation.</t>
  </si>
  <si>
    <t>Le RNCP (Répertoire national des certifications professionnelles) recense la liste de tous les diplômes et titres à vocation professionnelle. L'inscription au RNCP atteste d'un niveau de qualification officiel.
Informations FRANCE COMPETENCES : https://www.francecompetences.fr/recherche_certificationprofessionnelle</t>
  </si>
  <si>
    <t>Autre</t>
  </si>
  <si>
    <t>Exemple  : HYGIENE AGROALIMENTAIRE</t>
  </si>
  <si>
    <t xml:space="preserve">Sous-total
</t>
  </si>
  <si>
    <t>Total :</t>
  </si>
  <si>
    <t>Ce fichier n'est pas une demande de prise en charge mais un outil d'aide à l'inventaire de vos besoins en formation. Les informations demandées dans cette version correspondent à la législation en vigueur pour les demandes de prises en charge</t>
  </si>
  <si>
    <r>
      <t>Coût pédagogique</t>
    </r>
    <r>
      <rPr>
        <sz val="6"/>
        <rFont val="Calibri"/>
        <family val="2"/>
      </rPr>
      <t xml:space="preserve"> 
(H.T.)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</si>
</sst>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
    <numFmt numFmtId="165" formatCode="General;;"/>
    <numFmt numFmtId="166" formatCode="dd/mm/yyyy;;"/>
    <numFmt numFmtId="167" formatCode="00000;;"/>
    <numFmt numFmtId="168" formatCode="0#&quot; &quot;##&quot; &quot;##&quot; &quot;##&quot; &quot;##"/>
  </numFmts>
  <fonts count="70">
    <font>
      <sz val="11"/>
      <color theme="1"/>
      <name val="Calibri"/>
      <family val="2"/>
      <scheme val="minor"/>
    </font>
    <font>
      <sz val="11"/>
      <color rgb="FF000000"/>
      <name val="Calibri"/>
      <family val="2"/>
      <charset val="1"/>
    </font>
    <font>
      <i/>
      <sz val="11"/>
      <color rgb="FFFF0000"/>
      <name val="Calibri"/>
      <family val="2"/>
    </font>
    <font>
      <b/>
      <sz val="11"/>
      <color rgb="FF000000"/>
      <name val="Calibri"/>
      <family val="2"/>
    </font>
    <font>
      <b/>
      <sz val="11"/>
      <color theme="0"/>
      <name val="Calibri"/>
      <family val="2"/>
    </font>
    <font>
      <i/>
      <sz val="11"/>
      <color theme="0"/>
      <name val="Calibri"/>
      <family val="2"/>
    </font>
    <font>
      <sz val="11"/>
      <color rgb="FF1D4851"/>
      <name val="Calibri"/>
      <family val="2"/>
      <charset val="1"/>
    </font>
    <font>
      <u/>
      <sz val="11"/>
      <color theme="10"/>
      <name val="Calibri"/>
      <family val="2"/>
      <scheme val="minor"/>
    </font>
    <font>
      <sz val="11"/>
      <color theme="0"/>
      <name val="Arial"/>
      <family val="2"/>
    </font>
    <font>
      <b/>
      <sz val="11"/>
      <color theme="0"/>
      <name val="Arial"/>
      <family val="2"/>
    </font>
    <font>
      <sz val="10"/>
      <color theme="0"/>
      <name val="Arial"/>
      <family val="2"/>
    </font>
    <font>
      <b/>
      <sz val="11"/>
      <color rgb="FF1D4851"/>
      <name val="Calibri"/>
      <family val="2"/>
    </font>
    <font>
      <i/>
      <sz val="11"/>
      <color theme="0" tint="-0.34998626667073579"/>
      <name val="Calibri"/>
      <family val="2"/>
    </font>
    <font>
      <sz val="11"/>
      <color theme="0" tint="-0.34998626667073579"/>
      <name val="Calibri"/>
      <family val="2"/>
    </font>
    <font>
      <b/>
      <i/>
      <sz val="11"/>
      <color rgb="FFFF6707"/>
      <name val="Arial"/>
      <family val="2"/>
    </font>
    <font>
      <sz val="9"/>
      <color theme="0"/>
      <name val="Arial"/>
      <family val="2"/>
    </font>
    <font>
      <sz val="9"/>
      <color rgb="FF000000"/>
      <name val="Calibri"/>
      <family val="2"/>
      <charset val="1"/>
    </font>
    <font>
      <b/>
      <sz val="9"/>
      <color theme="0"/>
      <name val="Calibri"/>
      <family val="2"/>
    </font>
    <font>
      <b/>
      <i/>
      <sz val="9"/>
      <color rgb="FFFF6707"/>
      <name val="Arial"/>
      <family val="2"/>
    </font>
    <font>
      <b/>
      <sz val="9"/>
      <color rgb="FF00A79B"/>
      <name val="Arial Nova"/>
      <family val="2"/>
    </font>
    <font>
      <b/>
      <u/>
      <sz val="9"/>
      <color theme="0"/>
      <name val="Calibri"/>
      <family val="2"/>
      <scheme val="minor"/>
    </font>
    <font>
      <b/>
      <i/>
      <sz val="9"/>
      <color theme="0"/>
      <name val="Calibri"/>
      <family val="2"/>
      <scheme val="minor"/>
    </font>
    <font>
      <b/>
      <sz val="9"/>
      <color rgb="FF000000"/>
      <name val="Calibri"/>
      <family val="2"/>
    </font>
    <font>
      <i/>
      <sz val="9"/>
      <color theme="0" tint="-0.34998626667073579"/>
      <name val="Calibri"/>
      <family val="2"/>
    </font>
    <font>
      <sz val="9"/>
      <color theme="1"/>
      <name val="Calibri"/>
      <family val="2"/>
      <scheme val="minor"/>
    </font>
    <font>
      <sz val="9"/>
      <color theme="0"/>
      <name val="Calibri"/>
      <family val="2"/>
      <scheme val="minor"/>
    </font>
    <font>
      <b/>
      <sz val="9"/>
      <color theme="0"/>
      <name val="Arial Black"/>
      <family val="2"/>
    </font>
    <font>
      <b/>
      <sz val="9"/>
      <color theme="0"/>
      <name val="Calibri"/>
      <family val="2"/>
      <scheme val="minor"/>
    </font>
    <font>
      <i/>
      <sz val="9"/>
      <color rgb="FFFF6707"/>
      <name val="Calibri"/>
      <family val="2"/>
      <scheme val="minor"/>
    </font>
    <font>
      <i/>
      <sz val="9"/>
      <color theme="1"/>
      <name val="Calibri"/>
      <family val="2"/>
      <scheme val="minor"/>
    </font>
    <font>
      <sz val="9"/>
      <color theme="0"/>
      <name val="Arial Black"/>
      <family val="2"/>
    </font>
    <font>
      <b/>
      <sz val="9"/>
      <color rgb="FF00A79B"/>
      <name val="Arial"/>
      <family val="2"/>
    </font>
    <font>
      <sz val="9"/>
      <color theme="0"/>
      <name val="Arial Nova"/>
      <family val="2"/>
    </font>
    <font>
      <sz val="9"/>
      <color rgb="FF1D4851"/>
      <name val="Calibri"/>
      <family val="2"/>
      <scheme val="minor"/>
    </font>
    <font>
      <sz val="9"/>
      <color rgb="FFFF6707"/>
      <name val="Arial"/>
      <family val="2"/>
    </font>
    <font>
      <sz val="9"/>
      <color theme="1"/>
      <name val="Arial"/>
      <family val="2"/>
    </font>
    <font>
      <b/>
      <sz val="9"/>
      <color rgb="FFFF6707"/>
      <name val="Arial"/>
      <family val="2"/>
    </font>
    <font>
      <i/>
      <sz val="9"/>
      <color rgb="FFFF6707"/>
      <name val="Arial"/>
      <family val="2"/>
    </font>
    <font>
      <b/>
      <i/>
      <sz val="10"/>
      <color rgb="FFFF6707"/>
      <name val="Arial"/>
      <family val="2"/>
    </font>
    <font>
      <sz val="11"/>
      <name val="Calibri"/>
      <family val="2"/>
      <charset val="1"/>
    </font>
    <font>
      <b/>
      <sz val="9"/>
      <name val="Calibri"/>
      <family val="2"/>
    </font>
    <font>
      <b/>
      <sz val="11"/>
      <color theme="1"/>
      <name val="Calibri"/>
      <family val="2"/>
      <scheme val="minor"/>
    </font>
    <font>
      <b/>
      <sz val="10"/>
      <color rgb="FF000000"/>
      <name val="Calibri"/>
      <family val="2"/>
    </font>
    <font>
      <sz val="9"/>
      <name val="Arial"/>
      <family val="2"/>
    </font>
    <font>
      <i/>
      <sz val="9"/>
      <name val="Arial"/>
      <family val="2"/>
    </font>
    <font>
      <b/>
      <sz val="14"/>
      <color rgb="FF000000"/>
      <name val="Arial"/>
      <family val="2"/>
    </font>
    <font>
      <b/>
      <sz val="14"/>
      <color rgb="FF000000"/>
      <name val="Calibri"/>
      <family val="2"/>
    </font>
    <font>
      <b/>
      <sz val="11"/>
      <color theme="0"/>
      <name val="Calibri"/>
      <family val="2"/>
      <scheme val="minor"/>
    </font>
    <font>
      <sz val="11"/>
      <color rgb="FF000000"/>
      <name val="Calibri"/>
      <family val="2"/>
    </font>
    <font>
      <sz val="8"/>
      <name val="Calibri"/>
      <family val="2"/>
      <scheme val="minor"/>
    </font>
    <font>
      <sz val="9"/>
      <name val="Calibri"/>
      <family val="2"/>
    </font>
    <font>
      <sz val="9"/>
      <color theme="0"/>
      <name val="Calibri"/>
      <family val="2"/>
    </font>
    <font>
      <sz val="9"/>
      <color rgb="FF000000"/>
      <name val="Calibri"/>
      <family val="2"/>
    </font>
    <font>
      <sz val="6"/>
      <name val="Calibri"/>
      <family val="2"/>
    </font>
    <font>
      <b/>
      <sz val="11"/>
      <color theme="0"/>
      <name val="Arial Black"/>
      <family val="2"/>
    </font>
    <font>
      <sz val="8"/>
      <color theme="0" tint="-0.34998626667073579"/>
      <name val="Calibri"/>
      <family val="2"/>
    </font>
    <font>
      <b/>
      <sz val="10"/>
      <color theme="0"/>
      <name val="Calibri"/>
      <family val="2"/>
    </font>
    <font>
      <b/>
      <u/>
      <sz val="10"/>
      <color theme="0"/>
      <name val="Calibri"/>
      <family val="2"/>
      <scheme val="minor"/>
    </font>
    <font>
      <b/>
      <i/>
      <sz val="10"/>
      <color theme="0"/>
      <name val="Calibri"/>
      <family val="2"/>
      <scheme val="minor"/>
    </font>
    <font>
      <b/>
      <sz val="10"/>
      <color theme="0"/>
      <name val="Calibri"/>
      <family val="2"/>
      <scheme val="minor"/>
    </font>
    <font>
      <b/>
      <sz val="10"/>
      <color rgb="FF1D4851"/>
      <name val="Calibri"/>
      <family val="2"/>
    </font>
    <font>
      <b/>
      <sz val="8"/>
      <color rgb="FF000000"/>
      <name val="Calibri  "/>
    </font>
    <font>
      <b/>
      <sz val="20"/>
      <color theme="0"/>
      <name val="Arial"/>
      <family val="2"/>
    </font>
    <font>
      <sz val="16"/>
      <color theme="0"/>
      <name val="Arial"/>
      <family val="2"/>
    </font>
    <font>
      <i/>
      <sz val="12"/>
      <color theme="0"/>
      <name val="Arial"/>
      <family val="2"/>
    </font>
    <font>
      <i/>
      <sz val="12"/>
      <color rgb="FFFFA807"/>
      <name val="Arial"/>
      <family val="2"/>
    </font>
    <font>
      <i/>
      <sz val="12"/>
      <color rgb="FF49F0B1"/>
      <name val="Arial"/>
      <family val="2"/>
    </font>
    <font>
      <b/>
      <sz val="8"/>
      <color theme="0"/>
      <name val="Calibri  "/>
    </font>
    <font>
      <b/>
      <sz val="8"/>
      <color theme="0"/>
      <name val="Calibri"/>
      <family val="2"/>
      <scheme val="minor"/>
    </font>
    <font>
      <b/>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rgb="FF1D4851"/>
        <bgColor indexed="64"/>
      </patternFill>
    </fill>
    <fill>
      <patternFill patternType="solid">
        <fgColor rgb="FF49F0B1"/>
        <bgColor indexed="64"/>
      </patternFill>
    </fill>
    <fill>
      <patternFill patternType="solid">
        <fgColor rgb="FF00A79B"/>
        <bgColor indexed="64"/>
      </patternFill>
    </fill>
    <fill>
      <patternFill patternType="solid">
        <fgColor rgb="FFFFA807"/>
        <bgColor indexed="64"/>
      </patternFill>
    </fill>
    <fill>
      <patternFill patternType="solid">
        <fgColor rgb="FFC93857"/>
        <bgColor indexed="64"/>
      </patternFill>
    </fill>
    <fill>
      <patternFill patternType="solid">
        <fgColor rgb="FFFF6707"/>
        <bgColor indexed="64"/>
      </patternFill>
    </fill>
    <fill>
      <patternFill patternType="solid">
        <fgColor theme="0"/>
        <bgColor indexed="64"/>
      </patternFill>
    </fill>
    <fill>
      <patternFill patternType="solid">
        <fgColor rgb="FFFF708F"/>
        <bgColor indexed="64"/>
      </patternFill>
    </fill>
  </fills>
  <borders count="63">
    <border>
      <left/>
      <right/>
      <top/>
      <bottom/>
      <diagonal/>
    </border>
    <border>
      <left style="thin">
        <color rgb="FF1D4851"/>
      </left>
      <right style="thin">
        <color rgb="FF1D4851"/>
      </right>
      <top style="thin">
        <color rgb="FF1D4851"/>
      </top>
      <bottom style="thin">
        <color rgb="FF1D4851"/>
      </bottom>
      <diagonal/>
    </border>
    <border>
      <left style="thin">
        <color rgb="FF1D4851"/>
      </left>
      <right/>
      <top/>
      <bottom/>
      <diagonal/>
    </border>
    <border>
      <left style="thin">
        <color rgb="FF1D4851"/>
      </left>
      <right/>
      <top style="thin">
        <color rgb="FF1D4851"/>
      </top>
      <bottom style="thin">
        <color rgb="FF1D4851"/>
      </bottom>
      <diagonal/>
    </border>
    <border>
      <left style="thin">
        <color theme="0"/>
      </left>
      <right style="thin">
        <color theme="0"/>
      </right>
      <top style="thin">
        <color theme="0"/>
      </top>
      <bottom style="thin">
        <color theme="0"/>
      </bottom>
      <diagonal/>
    </border>
    <border>
      <left style="thin">
        <color rgb="FF1D4851"/>
      </left>
      <right style="thin">
        <color rgb="FF1D4851"/>
      </right>
      <top/>
      <bottom style="thin">
        <color rgb="FF1D485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rgb="FF1D4851"/>
      </top>
      <bottom style="thin">
        <color rgb="FF1D4851"/>
      </bottom>
      <diagonal/>
    </border>
    <border>
      <left/>
      <right style="thin">
        <color theme="0"/>
      </right>
      <top/>
      <bottom style="thin">
        <color theme="0"/>
      </bottom>
      <diagonal/>
    </border>
    <border>
      <left/>
      <right style="thin">
        <color theme="0"/>
      </right>
      <top/>
      <bottom/>
      <diagonal/>
    </border>
    <border>
      <left/>
      <right style="thin">
        <color theme="0"/>
      </right>
      <top style="thin">
        <color theme="0"/>
      </top>
      <bottom/>
      <diagonal/>
    </border>
    <border>
      <left style="thin">
        <color rgb="FF1D4851"/>
      </left>
      <right style="thin">
        <color rgb="FF1D4851"/>
      </right>
      <top style="thin">
        <color theme="0"/>
      </top>
      <bottom style="thin">
        <color rgb="FF1D4851"/>
      </bottom>
      <diagonal/>
    </border>
    <border>
      <left style="thin">
        <color auto="1"/>
      </left>
      <right style="thin">
        <color theme="0"/>
      </right>
      <top style="thin">
        <color theme="0"/>
      </top>
      <bottom/>
      <diagonal/>
    </border>
    <border>
      <left style="thin">
        <color theme="0"/>
      </left>
      <right style="thin">
        <color auto="1"/>
      </right>
      <top style="thin">
        <color theme="0"/>
      </top>
      <bottom/>
      <diagonal/>
    </border>
    <border>
      <left style="thin">
        <color rgb="FF1D4851"/>
      </left>
      <right style="thin">
        <color theme="0"/>
      </right>
      <top/>
      <bottom/>
      <diagonal/>
    </border>
    <border>
      <left style="thin">
        <color auto="1"/>
      </left>
      <right style="medium">
        <color indexed="64"/>
      </right>
      <top style="medium">
        <color indexed="64"/>
      </top>
      <bottom style="medium">
        <color indexed="64"/>
      </bottom>
      <diagonal/>
    </border>
    <border>
      <left/>
      <right/>
      <top style="thin">
        <color theme="0"/>
      </top>
      <bottom style="thin">
        <color rgb="FF1D4851"/>
      </bottom>
      <diagonal/>
    </border>
    <border>
      <left style="thin">
        <color rgb="FF1D4851"/>
      </left>
      <right style="medium">
        <color indexed="64"/>
      </right>
      <top style="thin">
        <color rgb="FF1D4851"/>
      </top>
      <bottom style="thin">
        <color rgb="FF1D4851"/>
      </bottom>
      <diagonal/>
    </border>
    <border>
      <left style="medium">
        <color indexed="64"/>
      </left>
      <right style="medium">
        <color indexed="64"/>
      </right>
      <top style="thin">
        <color rgb="FF1D4851"/>
      </top>
      <bottom style="thin">
        <color rgb="FF1D4851"/>
      </bottom>
      <diagonal/>
    </border>
    <border>
      <left style="medium">
        <color indexed="64"/>
      </left>
      <right/>
      <top/>
      <bottom style="thin">
        <color rgb="FF1D4851"/>
      </bottom>
      <diagonal/>
    </border>
    <border>
      <left style="thin">
        <color rgb="FF1D4851"/>
      </left>
      <right/>
      <top/>
      <bottom style="thin">
        <color rgb="FF1D4851"/>
      </bottom>
      <diagonal/>
    </border>
    <border>
      <left style="thin">
        <color rgb="FF1D4851"/>
      </left>
      <right style="medium">
        <color indexed="64"/>
      </right>
      <top/>
      <bottom style="thin">
        <color rgb="FF1D4851"/>
      </bottom>
      <diagonal/>
    </border>
    <border>
      <left style="medium">
        <color indexed="64"/>
      </left>
      <right style="medium">
        <color indexed="64"/>
      </right>
      <top/>
      <bottom style="thin">
        <color rgb="FF1D485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rgb="FF1D4851"/>
      </right>
      <top/>
      <bottom style="thin">
        <color rgb="FF1D4851"/>
      </bottom>
      <diagonal/>
    </border>
    <border>
      <left style="medium">
        <color indexed="64"/>
      </left>
      <right style="thin">
        <color rgb="FF1D4851"/>
      </right>
      <top style="thin">
        <color rgb="FF1D4851"/>
      </top>
      <bottom style="thin">
        <color rgb="FF1D485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top style="medium">
        <color indexed="64"/>
      </top>
      <bottom style="thin">
        <color auto="1"/>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theme="0"/>
      </left>
      <right/>
      <top style="medium">
        <color theme="0"/>
      </top>
      <bottom style="thin">
        <color theme="0"/>
      </bottom>
      <diagonal/>
    </border>
    <border>
      <left style="thin">
        <color theme="0"/>
      </left>
      <right/>
      <top style="medium">
        <color theme="0"/>
      </top>
      <bottom style="thin">
        <color theme="0"/>
      </bottom>
      <diagonal/>
    </border>
    <border>
      <left/>
      <right style="thin">
        <color theme="0"/>
      </right>
      <top style="medium">
        <color theme="0"/>
      </top>
      <bottom style="thin">
        <color theme="0"/>
      </bottom>
      <diagonal/>
    </border>
    <border>
      <left/>
      <right style="medium">
        <color theme="0"/>
      </right>
      <top style="medium">
        <color theme="0"/>
      </top>
      <bottom style="thin">
        <color theme="0"/>
      </bottom>
      <diagonal/>
    </border>
    <border>
      <left style="medium">
        <color theme="0"/>
      </left>
      <right/>
      <top style="thin">
        <color theme="0"/>
      </top>
      <bottom style="thin">
        <color theme="0"/>
      </bottom>
      <diagonal/>
    </border>
    <border>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top style="thin">
        <color theme="0"/>
      </top>
      <bottom style="medium">
        <color theme="0"/>
      </bottom>
      <diagonal/>
    </border>
    <border>
      <left/>
      <right style="thin">
        <color theme="0"/>
      </right>
      <top style="thin">
        <color theme="0"/>
      </top>
      <bottom style="medium">
        <color theme="0"/>
      </bottom>
      <diagonal/>
    </border>
    <border>
      <left/>
      <right style="medium">
        <color theme="0"/>
      </right>
      <top style="thin">
        <color theme="0"/>
      </top>
      <bottom style="medium">
        <color theme="0"/>
      </bottom>
      <diagonal/>
    </border>
    <border>
      <left style="medium">
        <color theme="0"/>
      </left>
      <right/>
      <top style="medium">
        <color theme="0"/>
      </top>
      <bottom style="medium">
        <color theme="0"/>
      </bottom>
      <diagonal/>
    </border>
    <border>
      <left style="thin">
        <color theme="0"/>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thin">
        <color theme="0"/>
      </right>
      <top style="medium">
        <color theme="0"/>
      </top>
      <bottom/>
      <diagonal/>
    </border>
    <border>
      <left style="medium">
        <color theme="0"/>
      </left>
      <right style="thin">
        <color theme="0"/>
      </right>
      <top/>
      <bottom/>
      <diagonal/>
    </border>
    <border>
      <left style="medium">
        <color theme="0"/>
      </left>
      <right style="thin">
        <color theme="0"/>
      </right>
      <top/>
      <bottom style="medium">
        <color theme="0"/>
      </bottom>
      <diagonal/>
    </border>
    <border>
      <left/>
      <right style="medium">
        <color theme="0"/>
      </right>
      <top style="medium">
        <color theme="0"/>
      </top>
      <bottom/>
      <diagonal/>
    </border>
    <border>
      <left/>
      <right style="medium">
        <color theme="0"/>
      </right>
      <top style="thin">
        <color theme="0"/>
      </top>
      <bottom/>
      <diagonal/>
    </border>
  </borders>
  <cellStyleXfs count="3">
    <xf numFmtId="0" fontId="0" fillId="0" borderId="0"/>
    <xf numFmtId="0" fontId="1" fillId="0" borderId="0"/>
    <xf numFmtId="0" fontId="7" fillId="0" borderId="0" applyNumberFormat="0" applyFill="0" applyBorder="0" applyAlignment="0" applyProtection="0"/>
  </cellStyleXfs>
  <cellXfs count="275">
    <xf numFmtId="0" fontId="0" fillId="0" borderId="0" xfId="0"/>
    <xf numFmtId="0" fontId="17" fillId="7" borderId="4" xfId="1" applyFont="1" applyFill="1" applyBorder="1" applyAlignment="1">
      <alignment horizontal="center" vertical="center"/>
    </xf>
    <xf numFmtId="0" fontId="17" fillId="8" borderId="4" xfId="1" applyFont="1" applyFill="1" applyBorder="1" applyAlignment="1">
      <alignment horizontal="center" vertical="center"/>
    </xf>
    <xf numFmtId="0" fontId="24" fillId="3" borderId="0" xfId="0" applyFont="1" applyFill="1"/>
    <xf numFmtId="0" fontId="25" fillId="3" borderId="0" xfId="0" applyFont="1" applyFill="1" applyAlignment="1">
      <alignment vertical="center" wrapText="1"/>
    </xf>
    <xf numFmtId="0" fontId="20" fillId="3" borderId="0" xfId="2" applyFont="1" applyFill="1"/>
    <xf numFmtId="0" fontId="26" fillId="3" borderId="0" xfId="2" applyFont="1" applyFill="1" applyAlignment="1">
      <alignment horizontal="center" vertical="center"/>
    </xf>
    <xf numFmtId="0" fontId="20" fillId="3" borderId="0" xfId="2" applyFont="1" applyFill="1" applyAlignment="1">
      <alignment horizontal="center" vertical="center"/>
    </xf>
    <xf numFmtId="0" fontId="27" fillId="8" borderId="1" xfId="0" applyFont="1" applyFill="1" applyBorder="1" applyAlignment="1">
      <alignment horizontal="center"/>
    </xf>
    <xf numFmtId="0" fontId="28" fillId="9" borderId="0" xfId="0" applyFont="1" applyFill="1"/>
    <xf numFmtId="0" fontId="24" fillId="4" borderId="1" xfId="0" applyFont="1" applyFill="1" applyBorder="1"/>
    <xf numFmtId="0" fontId="29" fillId="9" borderId="0" xfId="0" applyFont="1" applyFill="1"/>
    <xf numFmtId="0" fontId="24" fillId="0" borderId="1" xfId="0" applyFont="1" applyBorder="1"/>
    <xf numFmtId="0" fontId="25" fillId="3" borderId="0" xfId="0" applyFont="1" applyFill="1" applyAlignment="1">
      <alignment horizontal="center" vertical="center"/>
    </xf>
    <xf numFmtId="0" fontId="24" fillId="3" borderId="0" xfId="0" applyFont="1" applyFill="1" applyAlignment="1">
      <alignment vertical="center"/>
    </xf>
    <xf numFmtId="0" fontId="17" fillId="7" borderId="6" xfId="1" applyFont="1" applyFill="1" applyBorder="1" applyAlignment="1">
      <alignment horizontal="center" vertical="center"/>
    </xf>
    <xf numFmtId="0" fontId="27" fillId="8" borderId="6" xfId="0" applyFont="1" applyFill="1" applyBorder="1" applyAlignment="1">
      <alignment horizontal="center"/>
    </xf>
    <xf numFmtId="0" fontId="34" fillId="0" borderId="1" xfId="0" applyFont="1" applyBorder="1" applyAlignment="1">
      <alignment vertical="center" wrapText="1"/>
    </xf>
    <xf numFmtId="0" fontId="35" fillId="0" borderId="1" xfId="0" applyFont="1" applyBorder="1" applyAlignment="1">
      <alignment horizontal="center" vertical="center"/>
    </xf>
    <xf numFmtId="0" fontId="24" fillId="0" borderId="0" xfId="0" applyFont="1"/>
    <xf numFmtId="0" fontId="35" fillId="0" borderId="1" xfId="0" applyFont="1" applyBorder="1" applyAlignment="1">
      <alignment vertical="center" wrapText="1"/>
    </xf>
    <xf numFmtId="0" fontId="35" fillId="4" borderId="1" xfId="0" applyFont="1" applyFill="1" applyBorder="1" applyAlignment="1">
      <alignment horizontal="center" vertical="center"/>
    </xf>
    <xf numFmtId="0" fontId="20" fillId="7" borderId="6" xfId="2" applyFont="1" applyFill="1" applyBorder="1" applyAlignment="1">
      <alignment horizontal="center" vertical="center" wrapText="1"/>
    </xf>
    <xf numFmtId="0" fontId="35" fillId="0" borderId="1" xfId="0" applyFont="1" applyBorder="1" applyAlignment="1">
      <alignment horizontal="center" vertical="center" wrapText="1"/>
    </xf>
    <xf numFmtId="0" fontId="17" fillId="8" borderId="6" xfId="1" applyFont="1" applyFill="1" applyBorder="1" applyAlignment="1">
      <alignment horizontal="center" vertical="center"/>
    </xf>
    <xf numFmtId="0" fontId="35" fillId="0" borderId="1" xfId="0" quotePrefix="1" applyFont="1" applyBorder="1" applyAlignment="1">
      <alignment horizontal="center" vertical="center"/>
    </xf>
    <xf numFmtId="0" fontId="17" fillId="5" borderId="6" xfId="1" applyFont="1" applyFill="1" applyBorder="1" applyAlignment="1">
      <alignment horizontal="center" vertical="center"/>
    </xf>
    <xf numFmtId="0" fontId="15" fillId="3" borderId="0" xfId="1" applyFont="1" applyFill="1" applyAlignment="1">
      <alignment vertical="center" wrapText="1"/>
    </xf>
    <xf numFmtId="0" fontId="24" fillId="3" borderId="0" xfId="0" applyFont="1" applyFill="1" applyAlignment="1">
      <alignment horizontal="center"/>
    </xf>
    <xf numFmtId="0" fontId="41" fillId="0" borderId="0" xfId="0" applyFont="1"/>
    <xf numFmtId="0" fontId="33" fillId="3" borderId="0" xfId="0" applyFont="1" applyFill="1" applyAlignment="1">
      <alignment horizontal="center"/>
    </xf>
    <xf numFmtId="4" fontId="16" fillId="0" borderId="1" xfId="1" applyNumberFormat="1" applyFont="1" applyBorder="1" applyAlignment="1" applyProtection="1">
      <alignment horizontal="right" vertical="center" indent="1"/>
      <protection locked="0"/>
    </xf>
    <xf numFmtId="0" fontId="22" fillId="0" borderId="1" xfId="1" applyFont="1" applyBorder="1" applyAlignment="1" applyProtection="1">
      <alignment horizontal="left" vertical="center" indent="1"/>
      <protection locked="0"/>
    </xf>
    <xf numFmtId="14" fontId="16" fillId="0" borderId="1" xfId="1" applyNumberFormat="1" applyFont="1" applyBorder="1" applyAlignment="1" applyProtection="1">
      <alignment horizontal="center" vertical="center"/>
      <protection locked="0"/>
    </xf>
    <xf numFmtId="0" fontId="16" fillId="0" borderId="1" xfId="1" applyFont="1" applyBorder="1" applyAlignment="1" applyProtection="1">
      <alignment horizontal="right" vertical="center" indent="1"/>
      <protection locked="0"/>
    </xf>
    <xf numFmtId="0" fontId="16" fillId="0" borderId="1" xfId="1" applyFont="1" applyBorder="1" applyAlignment="1" applyProtection="1">
      <alignment horizontal="center" vertical="center"/>
      <protection locked="0"/>
    </xf>
    <xf numFmtId="0" fontId="17" fillId="5" borderId="6" xfId="1" applyFont="1" applyFill="1" applyBorder="1" applyAlignment="1">
      <alignment horizontal="center" vertical="center" wrapText="1"/>
    </xf>
    <xf numFmtId="0" fontId="17" fillId="5" borderId="7" xfId="1" applyFont="1" applyFill="1" applyBorder="1" applyAlignment="1">
      <alignment horizontal="center" vertical="center" wrapText="1"/>
    </xf>
    <xf numFmtId="0" fontId="27" fillId="8" borderId="7" xfId="0" applyFont="1" applyFill="1" applyBorder="1" applyAlignment="1">
      <alignment horizontal="center"/>
    </xf>
    <xf numFmtId="0" fontId="24" fillId="0" borderId="24" xfId="0" applyFont="1" applyBorder="1"/>
    <xf numFmtId="0" fontId="24" fillId="0" borderId="15" xfId="0" applyFont="1" applyBorder="1"/>
    <xf numFmtId="0" fontId="17" fillId="4" borderId="0" xfId="1" applyFont="1" applyFill="1" applyAlignment="1">
      <alignment horizontal="center" vertical="center"/>
    </xf>
    <xf numFmtId="0" fontId="17" fillId="4" borderId="4" xfId="1" applyFont="1" applyFill="1" applyBorder="1" applyAlignment="1">
      <alignment horizontal="center" vertical="center"/>
    </xf>
    <xf numFmtId="0" fontId="17" fillId="4" borderId="14" xfId="1" applyFont="1" applyFill="1" applyBorder="1" applyAlignment="1">
      <alignment horizontal="center" vertical="center"/>
    </xf>
    <xf numFmtId="0" fontId="17" fillId="4" borderId="6" xfId="1" applyFont="1" applyFill="1" applyBorder="1" applyAlignment="1">
      <alignment horizontal="center" vertical="center"/>
    </xf>
    <xf numFmtId="0" fontId="25" fillId="3" borderId="0" xfId="0" applyFont="1" applyFill="1"/>
    <xf numFmtId="0" fontId="16" fillId="0" borderId="36" xfId="1" applyFont="1" applyBorder="1" applyAlignment="1" applyProtection="1">
      <alignment horizontal="left" vertical="center" indent="1"/>
      <protection locked="0"/>
    </xf>
    <xf numFmtId="0" fontId="16" fillId="0" borderId="25" xfId="1" applyFont="1" applyBorder="1" applyAlignment="1" applyProtection="1">
      <alignment horizontal="center" vertical="center"/>
      <protection locked="0"/>
    </xf>
    <xf numFmtId="0" fontId="16" fillId="0" borderId="25" xfId="1" applyFont="1" applyBorder="1" applyAlignment="1" applyProtection="1">
      <alignment horizontal="left" vertical="center" indent="1"/>
      <protection locked="0"/>
    </xf>
    <xf numFmtId="4" fontId="16" fillId="0" borderId="36" xfId="1" applyNumberFormat="1" applyFont="1" applyBorder="1" applyAlignment="1" applyProtection="1">
      <alignment horizontal="right" vertical="center" indent="1"/>
      <protection locked="0"/>
    </xf>
    <xf numFmtId="0" fontId="16" fillId="3" borderId="0" xfId="1" applyFont="1" applyFill="1"/>
    <xf numFmtId="0" fontId="15" fillId="3" borderId="0" xfId="1" applyFont="1" applyFill="1" applyAlignment="1">
      <alignment wrapText="1"/>
    </xf>
    <xf numFmtId="0" fontId="16" fillId="0" borderId="0" xfId="1" applyFont="1"/>
    <xf numFmtId="0" fontId="17" fillId="3" borderId="0" xfId="1" applyFont="1" applyFill="1"/>
    <xf numFmtId="0" fontId="18" fillId="3" borderId="0" xfId="1" applyFont="1" applyFill="1" applyAlignment="1">
      <alignment vertical="center"/>
    </xf>
    <xf numFmtId="0" fontId="14" fillId="3" borderId="0" xfId="1" applyFont="1" applyFill="1" applyAlignment="1">
      <alignment vertical="top"/>
    </xf>
    <xf numFmtId="0" fontId="38" fillId="3" borderId="0" xfId="1" applyFont="1" applyFill="1" applyAlignment="1">
      <alignment vertical="top"/>
    </xf>
    <xf numFmtId="0" fontId="18" fillId="3" borderId="0" xfId="1" applyFont="1" applyFill="1" applyAlignment="1">
      <alignment vertical="top"/>
    </xf>
    <xf numFmtId="0" fontId="51" fillId="5" borderId="37" xfId="1" applyFont="1" applyFill="1" applyBorder="1" applyAlignment="1">
      <alignment horizontal="center" vertical="center"/>
    </xf>
    <xf numFmtId="0" fontId="51" fillId="5" borderId="38" xfId="1" applyFont="1" applyFill="1" applyBorder="1" applyAlignment="1">
      <alignment horizontal="center" vertical="center"/>
    </xf>
    <xf numFmtId="0" fontId="51" fillId="5" borderId="39" xfId="1" applyFont="1" applyFill="1" applyBorder="1" applyAlignment="1">
      <alignment horizontal="center" vertical="center" wrapText="1"/>
    </xf>
    <xf numFmtId="0" fontId="51" fillId="5" borderId="40" xfId="1" applyFont="1" applyFill="1" applyBorder="1" applyAlignment="1">
      <alignment horizontal="center" vertical="center"/>
    </xf>
    <xf numFmtId="0" fontId="51" fillId="7" borderId="37" xfId="1" applyFont="1" applyFill="1" applyBorder="1" applyAlignment="1">
      <alignment horizontal="center" vertical="center"/>
    </xf>
    <xf numFmtId="0" fontId="51" fillId="7" borderId="38" xfId="1" applyFont="1" applyFill="1" applyBorder="1" applyAlignment="1">
      <alignment horizontal="center" vertical="center"/>
    </xf>
    <xf numFmtId="0" fontId="51" fillId="7" borderId="38" xfId="1" applyFont="1" applyFill="1" applyBorder="1" applyAlignment="1">
      <alignment horizontal="center" vertical="center" wrapText="1"/>
    </xf>
    <xf numFmtId="0" fontId="51" fillId="8" borderId="37" xfId="1" applyFont="1" applyFill="1" applyBorder="1" applyAlignment="1">
      <alignment horizontal="center" vertical="center"/>
    </xf>
    <xf numFmtId="0" fontId="51" fillId="8" borderId="38" xfId="1" applyFont="1" applyFill="1" applyBorder="1" applyAlignment="1">
      <alignment horizontal="center" vertical="center"/>
    </xf>
    <xf numFmtId="0" fontId="51" fillId="8" borderId="39" xfId="1" applyFont="1" applyFill="1" applyBorder="1" applyAlignment="1">
      <alignment horizontal="center" vertical="center"/>
    </xf>
    <xf numFmtId="0" fontId="52" fillId="0" borderId="0" xfId="1" applyFont="1" applyAlignment="1">
      <alignment horizontal="center" vertical="center"/>
    </xf>
    <xf numFmtId="0" fontId="16" fillId="0" borderId="0" xfId="1" applyFont="1" applyAlignment="1">
      <alignment vertical="center"/>
    </xf>
    <xf numFmtId="166" fontId="16" fillId="0" borderId="0" xfId="1" applyNumberFormat="1" applyFont="1" applyAlignment="1">
      <alignment horizontal="left" vertical="center" indent="1"/>
    </xf>
    <xf numFmtId="0" fontId="16" fillId="0" borderId="0" xfId="1" applyFont="1" applyAlignment="1">
      <alignment horizontal="left" vertical="center" indent="1"/>
    </xf>
    <xf numFmtId="0" fontId="22" fillId="0" borderId="0" xfId="1" applyFont="1" applyAlignment="1">
      <alignment horizontal="left" vertical="center" indent="1"/>
    </xf>
    <xf numFmtId="14" fontId="16" fillId="0" borderId="0" xfId="1" applyNumberFormat="1" applyFont="1" applyAlignment="1">
      <alignment horizontal="center" vertical="center"/>
    </xf>
    <xf numFmtId="0" fontId="16" fillId="0" borderId="0" xfId="1" applyFont="1" applyAlignment="1">
      <alignment horizontal="right" vertical="center" indent="1"/>
    </xf>
    <xf numFmtId="0" fontId="16" fillId="0" borderId="0" xfId="1" applyFont="1" applyAlignment="1">
      <alignment horizontal="center" vertical="center"/>
    </xf>
    <xf numFmtId="167" fontId="16" fillId="0" borderId="0" xfId="1" applyNumberFormat="1" applyFont="1" applyAlignment="1">
      <alignment horizontal="left" vertical="center" indent="1"/>
    </xf>
    <xf numFmtId="0" fontId="42" fillId="0" borderId="11" xfId="1" applyFont="1" applyBorder="1" applyAlignment="1">
      <alignment horizontal="right" vertical="center" indent="1"/>
    </xf>
    <xf numFmtId="0" fontId="17" fillId="5" borderId="6" xfId="1" applyFont="1" applyFill="1" applyBorder="1" applyAlignment="1">
      <alignment horizontal="left" vertical="center" indent="2"/>
    </xf>
    <xf numFmtId="0" fontId="17" fillId="5" borderId="8" xfId="1" applyFont="1" applyFill="1" applyBorder="1" applyAlignment="1">
      <alignment horizontal="left" vertical="center" indent="2"/>
    </xf>
    <xf numFmtId="0" fontId="8" fillId="3" borderId="0" xfId="1" applyFont="1" applyFill="1" applyAlignment="1">
      <alignment wrapText="1"/>
    </xf>
    <xf numFmtId="0" fontId="8" fillId="3" borderId="0" xfId="1" applyFont="1" applyFill="1" applyAlignment="1">
      <alignment horizontal="center" wrapText="1"/>
    </xf>
    <xf numFmtId="0" fontId="1" fillId="3" borderId="0" xfId="1" applyFill="1"/>
    <xf numFmtId="0" fontId="1" fillId="3" borderId="0" xfId="1" applyFill="1" applyAlignment="1">
      <alignment horizontal="center" vertical="center"/>
    </xf>
    <xf numFmtId="0" fontId="1" fillId="0" borderId="0" xfId="1"/>
    <xf numFmtId="0" fontId="4" fillId="3" borderId="0" xfId="1" applyFont="1" applyFill="1"/>
    <xf numFmtId="0" fontId="1" fillId="0" borderId="0" xfId="1" applyAlignment="1">
      <alignment horizontal="center"/>
    </xf>
    <xf numFmtId="0" fontId="14" fillId="3" borderId="0" xfId="1" applyFont="1" applyFill="1" applyAlignment="1">
      <alignment horizontal="left" vertical="top"/>
    </xf>
    <xf numFmtId="0" fontId="14" fillId="3" borderId="0" xfId="1" applyFont="1" applyFill="1" applyAlignment="1">
      <alignment horizontal="center" vertical="center"/>
    </xf>
    <xf numFmtId="0" fontId="14" fillId="3" borderId="0" xfId="1" applyFont="1" applyFill="1" applyAlignment="1">
      <alignment vertical="center"/>
    </xf>
    <xf numFmtId="0" fontId="4" fillId="5" borderId="6" xfId="1" applyFont="1" applyFill="1" applyBorder="1" applyAlignment="1">
      <alignment horizontal="center" vertical="center" wrapText="1"/>
    </xf>
    <xf numFmtId="0" fontId="1" fillId="0" borderId="0" xfId="1" applyAlignment="1">
      <alignment vertical="center"/>
    </xf>
    <xf numFmtId="0" fontId="5" fillId="9" borderId="19" xfId="1" applyFont="1" applyFill="1" applyBorder="1" applyAlignment="1">
      <alignment horizontal="center" vertical="center" wrapText="1"/>
    </xf>
    <xf numFmtId="0" fontId="5" fillId="6" borderId="5" xfId="1" applyFont="1" applyFill="1" applyBorder="1" applyAlignment="1">
      <alignment horizontal="center" vertical="center" wrapText="1"/>
    </xf>
    <xf numFmtId="0" fontId="2" fillId="0" borderId="5" xfId="1" applyFont="1" applyBorder="1" applyAlignment="1">
      <alignment horizontal="center" vertical="center" wrapText="1"/>
    </xf>
    <xf numFmtId="0" fontId="5" fillId="9" borderId="5" xfId="1" applyFont="1" applyFill="1" applyBorder="1" applyAlignment="1">
      <alignment horizontal="center" vertical="center" wrapText="1"/>
    </xf>
    <xf numFmtId="0" fontId="2" fillId="0" borderId="19"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0" xfId="1" applyFont="1" applyAlignment="1">
      <alignment horizontal="center" vertical="center" wrapText="1"/>
    </xf>
    <xf numFmtId="0" fontId="12" fillId="2" borderId="1" xfId="1" applyFont="1" applyFill="1" applyBorder="1" applyAlignment="1">
      <alignment horizontal="left" vertical="center" indent="1"/>
    </xf>
    <xf numFmtId="14" fontId="12" fillId="2" borderId="1" xfId="1" applyNumberFormat="1" applyFont="1" applyFill="1" applyBorder="1" applyAlignment="1">
      <alignment horizontal="center" vertical="center"/>
    </xf>
    <xf numFmtId="0" fontId="12" fillId="2" borderId="1" xfId="1" applyFont="1" applyFill="1" applyBorder="1" applyAlignment="1">
      <alignment horizontal="center" vertical="center"/>
    </xf>
    <xf numFmtId="0" fontId="12" fillId="2" borderId="1" xfId="1" applyFont="1" applyFill="1" applyBorder="1" applyAlignment="1">
      <alignment vertical="center"/>
    </xf>
    <xf numFmtId="0" fontId="23" fillId="2" borderId="3" xfId="1" applyFont="1" applyFill="1" applyBorder="1" applyAlignment="1">
      <alignment horizontal="center" vertical="center"/>
    </xf>
    <xf numFmtId="0" fontId="23" fillId="2" borderId="3" xfId="1" applyFont="1" applyFill="1" applyBorder="1" applyAlignment="1">
      <alignment horizontal="left" vertical="center" indent="1"/>
    </xf>
    <xf numFmtId="0" fontId="12" fillId="2" borderId="3" xfId="1" applyFont="1" applyFill="1" applyBorder="1" applyAlignment="1">
      <alignment vertical="center"/>
    </xf>
    <xf numFmtId="0" fontId="12" fillId="2" borderId="9" xfId="1" applyFont="1" applyFill="1" applyBorder="1" applyAlignment="1">
      <alignment vertical="center"/>
    </xf>
    <xf numFmtId="0" fontId="13" fillId="0" borderId="0" xfId="1" applyFont="1" applyAlignment="1">
      <alignment vertical="center"/>
    </xf>
    <xf numFmtId="0" fontId="39" fillId="0" borderId="1" xfId="1" applyFont="1" applyBorder="1" applyAlignment="1">
      <alignment horizontal="left" vertical="center" indent="1"/>
    </xf>
    <xf numFmtId="164" fontId="39" fillId="0" borderId="1" xfId="1" applyNumberFormat="1" applyFont="1" applyBorder="1" applyAlignment="1">
      <alignment horizontal="center" vertical="center"/>
    </xf>
    <xf numFmtId="3" fontId="39" fillId="0" borderId="1" xfId="1" applyNumberFormat="1" applyFont="1" applyBorder="1" applyAlignment="1">
      <alignment horizontal="center" vertical="center"/>
    </xf>
    <xf numFmtId="165" fontId="6" fillId="4" borderId="1" xfId="1" applyNumberFormat="1" applyFont="1" applyFill="1" applyBorder="1" applyAlignment="1">
      <alignment horizontal="center" vertical="center"/>
    </xf>
    <xf numFmtId="0" fontId="1" fillId="0" borderId="1" xfId="1" applyBorder="1" applyAlignment="1">
      <alignment horizontal="center" vertical="center"/>
    </xf>
    <xf numFmtId="0" fontId="39" fillId="0" borderId="1" xfId="1" applyFont="1" applyBorder="1" applyAlignment="1">
      <alignment horizontal="center" vertical="center"/>
    </xf>
    <xf numFmtId="0" fontId="6" fillId="4" borderId="1" xfId="1" applyFont="1" applyFill="1" applyBorder="1" applyAlignment="1">
      <alignment vertical="center"/>
    </xf>
    <xf numFmtId="165" fontId="1" fillId="0" borderId="1" xfId="1" applyNumberFormat="1" applyBorder="1" applyAlignment="1">
      <alignment vertical="center"/>
    </xf>
    <xf numFmtId="0" fontId="1" fillId="0" borderId="1" xfId="1" applyBorder="1" applyAlignment="1">
      <alignment vertical="center"/>
    </xf>
    <xf numFmtId="165" fontId="1" fillId="0" borderId="1" xfId="1" applyNumberFormat="1" applyBorder="1" applyAlignment="1">
      <alignment horizontal="center" vertical="center"/>
    </xf>
    <xf numFmtId="166" fontId="16" fillId="0" borderId="1" xfId="1" applyNumberFormat="1" applyFont="1" applyBorder="1" applyAlignment="1">
      <alignment horizontal="left" vertical="center" indent="1"/>
    </xf>
    <xf numFmtId="165" fontId="1" fillId="0" borderId="3" xfId="1" applyNumberFormat="1" applyBorder="1" applyAlignment="1">
      <alignment vertical="center"/>
    </xf>
    <xf numFmtId="165" fontId="1" fillId="0" borderId="9" xfId="1" applyNumberFormat="1" applyBorder="1" applyAlignment="1">
      <alignment vertical="center"/>
    </xf>
    <xf numFmtId="0" fontId="39" fillId="0" borderId="0" xfId="1" applyFont="1"/>
    <xf numFmtId="0" fontId="1" fillId="0" borderId="0" xfId="1" applyAlignment="1">
      <alignment horizontal="center" vertical="center"/>
    </xf>
    <xf numFmtId="0" fontId="39" fillId="0" borderId="0" xfId="1" applyFont="1" applyAlignment="1">
      <alignment vertical="center"/>
    </xf>
    <xf numFmtId="4" fontId="48" fillId="0" borderId="12" xfId="1" applyNumberFormat="1" applyFont="1" applyBorder="1" applyAlignment="1">
      <alignment horizontal="right" vertical="center"/>
    </xf>
    <xf numFmtId="4" fontId="3" fillId="0" borderId="23" xfId="1" applyNumberFormat="1" applyFont="1" applyBorder="1" applyAlignment="1">
      <alignment horizontal="right" vertical="center"/>
    </xf>
    <xf numFmtId="0" fontId="54" fillId="3" borderId="0" xfId="2" applyFont="1" applyFill="1" applyAlignment="1">
      <alignment horizontal="center" vertical="center" wrapText="1"/>
    </xf>
    <xf numFmtId="0" fontId="50" fillId="0" borderId="3" xfId="1" applyFont="1" applyBorder="1" applyAlignment="1" applyProtection="1">
      <alignment horizontal="left" vertical="center" indent="1"/>
      <protection locked="0"/>
    </xf>
    <xf numFmtId="0" fontId="50" fillId="0" borderId="25" xfId="1" applyFont="1" applyBorder="1" applyAlignment="1" applyProtection="1">
      <alignment horizontal="center" vertical="center"/>
      <protection locked="0"/>
    </xf>
    <xf numFmtId="3" fontId="16" fillId="0" borderId="26" xfId="1" applyNumberFormat="1" applyFont="1" applyBorder="1" applyAlignment="1" applyProtection="1">
      <alignment horizontal="center" vertical="center"/>
      <protection locked="0"/>
    </xf>
    <xf numFmtId="4" fontId="16" fillId="0" borderId="25" xfId="1" applyNumberFormat="1" applyFont="1" applyBorder="1" applyAlignment="1" applyProtection="1">
      <alignment horizontal="right" vertical="center" indent="1"/>
      <protection locked="0"/>
    </xf>
    <xf numFmtId="0" fontId="1" fillId="3" borderId="0" xfId="1" applyFill="1" applyAlignment="1">
      <alignment horizontal="center"/>
    </xf>
    <xf numFmtId="0" fontId="6" fillId="4" borderId="1" xfId="1" applyFont="1" applyFill="1" applyBorder="1" applyAlignment="1">
      <alignment horizontal="center" vertical="center"/>
    </xf>
    <xf numFmtId="0" fontId="3" fillId="0" borderId="11" xfId="1" applyFont="1" applyBorder="1" applyAlignment="1">
      <alignment horizontal="center" vertical="center"/>
    </xf>
    <xf numFmtId="0" fontId="50" fillId="4" borderId="37" xfId="1" applyFont="1" applyFill="1" applyBorder="1" applyAlignment="1">
      <alignment horizontal="center" vertical="center" wrapText="1"/>
    </xf>
    <xf numFmtId="0" fontId="24" fillId="9" borderId="0" xfId="0" applyFont="1" applyFill="1"/>
    <xf numFmtId="0" fontId="15" fillId="3" borderId="0" xfId="1" applyFont="1" applyFill="1" applyAlignment="1">
      <alignment horizontal="center" vertical="center" wrapText="1"/>
    </xf>
    <xf numFmtId="0" fontId="50" fillId="4" borderId="38" xfId="1" applyFont="1" applyFill="1" applyBorder="1" applyAlignment="1">
      <alignment horizontal="center" vertical="center" wrapText="1"/>
    </xf>
    <xf numFmtId="0" fontId="50" fillId="4" borderId="39" xfId="1" applyFont="1" applyFill="1" applyBorder="1" applyAlignment="1">
      <alignment horizontal="center" vertical="center" wrapText="1"/>
    </xf>
    <xf numFmtId="0" fontId="55" fillId="0" borderId="0" xfId="1" applyFont="1" applyAlignment="1">
      <alignment vertical="center"/>
    </xf>
    <xf numFmtId="0" fontId="56" fillId="7" borderId="4" xfId="1" applyFont="1" applyFill="1" applyBorder="1" applyAlignment="1">
      <alignment horizontal="center" vertical="center"/>
    </xf>
    <xf numFmtId="0" fontId="56" fillId="7" borderId="4" xfId="1" applyFont="1" applyFill="1" applyBorder="1" applyAlignment="1">
      <alignment horizontal="center" vertical="center" wrapText="1"/>
    </xf>
    <xf numFmtId="0" fontId="57" fillId="7" borderId="4" xfId="2" applyFont="1" applyFill="1" applyBorder="1" applyAlignment="1" applyProtection="1">
      <alignment horizontal="center" vertical="center" wrapText="1"/>
    </xf>
    <xf numFmtId="0" fontId="56" fillId="8" borderId="4" xfId="1" applyFont="1" applyFill="1" applyBorder="1" applyAlignment="1">
      <alignment horizontal="center" vertical="center" wrapText="1"/>
    </xf>
    <xf numFmtId="0" fontId="56" fillId="8" borderId="4" xfId="1" applyFont="1" applyFill="1" applyBorder="1" applyAlignment="1">
      <alignment horizontal="center" vertical="center"/>
    </xf>
    <xf numFmtId="0" fontId="56" fillId="5" borderId="14" xfId="1" applyFont="1" applyFill="1" applyBorder="1" applyAlignment="1">
      <alignment horizontal="center" vertical="center"/>
    </xf>
    <xf numFmtId="0" fontId="56" fillId="5" borderId="14" xfId="1" applyFont="1" applyFill="1" applyBorder="1" applyAlignment="1">
      <alignment horizontal="center" vertical="center" wrapText="1"/>
    </xf>
    <xf numFmtId="0" fontId="59" fillId="10" borderId="6" xfId="0" applyFont="1" applyFill="1" applyBorder="1" applyAlignment="1">
      <alignment horizontal="center" vertical="center" wrapText="1"/>
    </xf>
    <xf numFmtId="0" fontId="59" fillId="10" borderId="4" xfId="0" applyFont="1" applyFill="1" applyBorder="1" applyAlignment="1">
      <alignment horizontal="center" vertical="center" wrapText="1"/>
    </xf>
    <xf numFmtId="0" fontId="60" fillId="4" borderId="4" xfId="1" applyFont="1" applyFill="1" applyBorder="1" applyAlignment="1">
      <alignment horizontal="center" vertical="center" wrapText="1"/>
    </xf>
    <xf numFmtId="0" fontId="60" fillId="4" borderId="7" xfId="1" applyFont="1" applyFill="1" applyBorder="1" applyAlignment="1">
      <alignment horizontal="center" vertical="center"/>
    </xf>
    <xf numFmtId="0" fontId="60" fillId="4" borderId="4" xfId="1" applyFont="1" applyFill="1" applyBorder="1" applyAlignment="1">
      <alignment horizontal="center" vertical="center"/>
    </xf>
    <xf numFmtId="0" fontId="60" fillId="4" borderId="8" xfId="1" applyFont="1" applyFill="1" applyBorder="1" applyAlignment="1">
      <alignment horizontal="center" vertical="center"/>
    </xf>
    <xf numFmtId="0" fontId="42" fillId="0" borderId="0" xfId="1" applyFont="1" applyAlignment="1">
      <alignment horizontal="center" vertical="center"/>
    </xf>
    <xf numFmtId="0" fontId="61" fillId="0" borderId="0" xfId="1" applyFont="1" applyAlignment="1">
      <alignment vertical="center"/>
    </xf>
    <xf numFmtId="0" fontId="55" fillId="2" borderId="27" xfId="1" applyFont="1" applyFill="1" applyBorder="1" applyAlignment="1" applyProtection="1">
      <alignment horizontal="center" vertical="center"/>
      <protection locked="0"/>
    </xf>
    <xf numFmtId="0" fontId="55" fillId="2" borderId="28" xfId="1" applyFont="1" applyFill="1" applyBorder="1" applyAlignment="1" applyProtection="1">
      <alignment horizontal="left" vertical="center" indent="1"/>
      <protection locked="0"/>
    </xf>
    <xf numFmtId="0" fontId="55" fillId="2" borderId="29" xfId="1" applyFont="1" applyFill="1" applyBorder="1" applyAlignment="1" applyProtection="1">
      <alignment horizontal="center" vertical="center"/>
      <protection locked="0"/>
    </xf>
    <xf numFmtId="0" fontId="55" fillId="2" borderId="30" xfId="1" applyFont="1" applyFill="1" applyBorder="1" applyAlignment="1" applyProtection="1">
      <alignment horizontal="center" vertical="center"/>
      <protection locked="0"/>
    </xf>
    <xf numFmtId="0" fontId="55" fillId="2" borderId="35" xfId="1" applyFont="1" applyFill="1" applyBorder="1" applyAlignment="1" applyProtection="1">
      <alignment horizontal="left" vertical="center" indent="1"/>
      <protection locked="0"/>
    </xf>
    <xf numFmtId="0" fontId="55" fillId="2" borderId="5" xfId="1" applyFont="1" applyFill="1" applyBorder="1" applyAlignment="1" applyProtection="1">
      <alignment vertical="center"/>
      <protection locked="0"/>
    </xf>
    <xf numFmtId="0" fontId="55" fillId="2" borderId="5" xfId="1" applyFont="1" applyFill="1" applyBorder="1" applyAlignment="1" applyProtection="1">
      <alignment horizontal="center" vertical="center"/>
      <protection locked="0"/>
    </xf>
    <xf numFmtId="0" fontId="55" fillId="2" borderId="5" xfId="1" applyFont="1" applyFill="1" applyBorder="1" applyAlignment="1" applyProtection="1">
      <alignment horizontal="right" vertical="center" indent="1"/>
      <protection locked="0"/>
    </xf>
    <xf numFmtId="0" fontId="55" fillId="2" borderId="29" xfId="1" applyFont="1" applyFill="1" applyBorder="1" applyAlignment="1" applyProtection="1">
      <alignment horizontal="left" vertical="center" indent="1"/>
      <protection locked="0"/>
    </xf>
    <xf numFmtId="4" fontId="55" fillId="2" borderId="35" xfId="1" applyNumberFormat="1" applyFont="1" applyFill="1" applyBorder="1" applyAlignment="1" applyProtection="1">
      <alignment horizontal="right" vertical="center" indent="1"/>
      <protection locked="0"/>
    </xf>
    <xf numFmtId="4" fontId="55" fillId="2" borderId="5" xfId="1" applyNumberFormat="1" applyFont="1" applyFill="1" applyBorder="1" applyAlignment="1" applyProtection="1">
      <alignment horizontal="right" vertical="center" indent="1"/>
      <protection locked="0"/>
    </xf>
    <xf numFmtId="4" fontId="55" fillId="2" borderId="29" xfId="1" applyNumberFormat="1" applyFont="1" applyFill="1" applyBorder="1" applyAlignment="1" applyProtection="1">
      <alignment horizontal="right" vertical="center" indent="1"/>
      <protection locked="0"/>
    </xf>
    <xf numFmtId="0" fontId="63" fillId="3" borderId="0" xfId="1" applyFont="1" applyFill="1" applyAlignment="1">
      <alignment horizontal="left" vertical="center" wrapText="1"/>
    </xf>
    <xf numFmtId="0" fontId="63" fillId="3" borderId="0" xfId="0" applyFont="1" applyFill="1" applyAlignment="1">
      <alignment wrapText="1"/>
    </xf>
    <xf numFmtId="0" fontId="64" fillId="3" borderId="0" xfId="2" applyFont="1" applyFill="1" applyAlignment="1">
      <alignment horizontal="left" vertical="center"/>
    </xf>
    <xf numFmtId="166" fontId="16" fillId="0" borderId="1" xfId="1" applyNumberFormat="1" applyFont="1" applyBorder="1" applyAlignment="1">
      <alignment horizontal="center" vertical="center"/>
    </xf>
    <xf numFmtId="0" fontId="50" fillId="0" borderId="3" xfId="1" applyFont="1" applyBorder="1" applyAlignment="1" applyProtection="1">
      <alignment vertical="center"/>
      <protection locked="0"/>
    </xf>
    <xf numFmtId="0" fontId="68" fillId="5" borderId="34" xfId="1" applyFont="1" applyFill="1" applyBorder="1" applyAlignment="1">
      <alignment horizontal="center" vertical="center" wrapText="1"/>
    </xf>
    <xf numFmtId="0" fontId="17" fillId="5" borderId="45" xfId="1" applyFont="1" applyFill="1" applyBorder="1" applyAlignment="1">
      <alignment horizontal="left" vertical="center" indent="2"/>
    </xf>
    <xf numFmtId="0" fontId="17" fillId="5" borderId="46" xfId="1" applyFont="1" applyFill="1" applyBorder="1" applyAlignment="1">
      <alignment horizontal="left" vertical="center" indent="2"/>
    </xf>
    <xf numFmtId="0" fontId="17" fillId="5" borderId="47" xfId="1" applyFont="1" applyFill="1" applyBorder="1" applyAlignment="1">
      <alignment horizontal="left" vertical="center" wrapText="1" indent="1"/>
    </xf>
    <xf numFmtId="0" fontId="17" fillId="5" borderId="49" xfId="1" applyFont="1" applyFill="1" applyBorder="1" applyAlignment="1">
      <alignment horizontal="left" vertical="center" wrapText="1" indent="1"/>
    </xf>
    <xf numFmtId="0" fontId="17" fillId="5" borderId="51" xfId="1" applyFont="1" applyFill="1" applyBorder="1" applyAlignment="1">
      <alignment horizontal="left" vertical="center" wrapText="1" indent="2"/>
    </xf>
    <xf numFmtId="0" fontId="17" fillId="5" borderId="52" xfId="1" applyFont="1" applyFill="1" applyBorder="1" applyAlignment="1">
      <alignment horizontal="left" vertical="center" indent="2"/>
    </xf>
    <xf numFmtId="0" fontId="17" fillId="5" borderId="53" xfId="1" applyFont="1" applyFill="1" applyBorder="1" applyAlignment="1">
      <alignment horizontal="left" vertical="center" wrapText="1" indent="1"/>
    </xf>
    <xf numFmtId="0" fontId="17" fillId="5" borderId="54" xfId="1" applyFont="1" applyFill="1" applyBorder="1" applyAlignment="1">
      <alignment horizontal="center" vertical="center" wrapText="1"/>
    </xf>
    <xf numFmtId="0" fontId="17" fillId="5" borderId="55" xfId="1" applyFont="1" applyFill="1" applyBorder="1" applyAlignment="1">
      <alignment horizontal="left" vertical="center" indent="2"/>
    </xf>
    <xf numFmtId="0" fontId="17" fillId="5" borderId="56" xfId="1" applyFont="1" applyFill="1" applyBorder="1" applyAlignment="1">
      <alignment horizontal="left" vertical="center" indent="2"/>
    </xf>
    <xf numFmtId="0" fontId="17" fillId="5" borderId="57" xfId="1" applyFont="1" applyFill="1" applyBorder="1" applyAlignment="1">
      <alignment horizontal="left" vertical="center" wrapText="1" indent="1"/>
    </xf>
    <xf numFmtId="0" fontId="17" fillId="7" borderId="47" xfId="1" applyFont="1" applyFill="1" applyBorder="1" applyAlignment="1">
      <alignment horizontal="left" vertical="center" wrapText="1" indent="1"/>
    </xf>
    <xf numFmtId="0" fontId="17" fillId="7" borderId="49" xfId="1" applyFont="1" applyFill="1" applyBorder="1" applyAlignment="1">
      <alignment horizontal="left" vertical="center" wrapText="1" indent="1"/>
    </xf>
    <xf numFmtId="0" fontId="17" fillId="7" borderId="53" xfId="1" applyFont="1" applyFill="1" applyBorder="1" applyAlignment="1">
      <alignment horizontal="left" vertical="center" wrapText="1" indent="1"/>
    </xf>
    <xf numFmtId="0" fontId="17" fillId="8" borderId="47" xfId="1" applyFont="1" applyFill="1" applyBorder="1" applyAlignment="1">
      <alignment horizontal="left" vertical="center" wrapText="1" indent="1"/>
    </xf>
    <xf numFmtId="0" fontId="17" fillId="8" borderId="49" xfId="1" applyFont="1" applyFill="1" applyBorder="1" applyAlignment="1">
      <alignment horizontal="left" vertical="center" wrapText="1" indent="1"/>
    </xf>
    <xf numFmtId="0" fontId="17" fillId="8" borderId="53" xfId="1" applyFont="1" applyFill="1" applyBorder="1" applyAlignment="1">
      <alignment horizontal="left" vertical="center" wrapText="1" indent="1"/>
    </xf>
    <xf numFmtId="0" fontId="17" fillId="4" borderId="61" xfId="1" applyFont="1" applyFill="1" applyBorder="1" applyAlignment="1">
      <alignment horizontal="left" vertical="center" wrapText="1" indent="1"/>
    </xf>
    <xf numFmtId="0" fontId="17" fillId="4" borderId="62" xfId="1" applyFont="1" applyFill="1" applyBorder="1" applyAlignment="1">
      <alignment horizontal="left" vertical="center" wrapText="1" indent="1"/>
    </xf>
    <xf numFmtId="0" fontId="17" fillId="4" borderId="53" xfId="1" applyFont="1" applyFill="1" applyBorder="1" applyAlignment="1">
      <alignment horizontal="left" vertical="center" wrapText="1" indent="1"/>
    </xf>
    <xf numFmtId="1" fontId="16" fillId="0" borderId="1" xfId="1" applyNumberFormat="1" applyFont="1" applyBorder="1" applyAlignment="1">
      <alignment horizontal="center" vertical="center"/>
    </xf>
    <xf numFmtId="4" fontId="22" fillId="0" borderId="12" xfId="1" applyNumberFormat="1" applyFont="1" applyBorder="1" applyAlignment="1">
      <alignment horizontal="right" vertical="center" indent="1"/>
    </xf>
    <xf numFmtId="4" fontId="22" fillId="0" borderId="23" xfId="1" applyNumberFormat="1" applyFont="1" applyBorder="1" applyAlignment="1">
      <alignment horizontal="right" vertical="center" indent="1"/>
    </xf>
    <xf numFmtId="0" fontId="4" fillId="3" borderId="0" xfId="1" applyFont="1" applyFill="1" applyAlignment="1">
      <alignment horizontal="center"/>
    </xf>
    <xf numFmtId="0" fontId="69" fillId="4" borderId="42" xfId="1" applyFont="1" applyFill="1" applyBorder="1" applyAlignment="1">
      <alignment horizontal="center" vertical="center"/>
    </xf>
    <xf numFmtId="0" fontId="69" fillId="4" borderId="41" xfId="1" applyFont="1" applyFill="1" applyBorder="1" applyAlignment="1">
      <alignment horizontal="center" vertical="center"/>
    </xf>
    <xf numFmtId="0" fontId="69" fillId="4" borderId="43" xfId="1" applyFont="1" applyFill="1" applyBorder="1" applyAlignment="1">
      <alignment horizontal="center" vertical="center"/>
    </xf>
    <xf numFmtId="0" fontId="15" fillId="3" borderId="0" xfId="1" applyFont="1" applyFill="1" applyAlignment="1">
      <alignment horizontal="center" vertical="center" wrapText="1"/>
    </xf>
    <xf numFmtId="0" fontId="68" fillId="7" borderId="31" xfId="1" applyFont="1" applyFill="1" applyBorder="1" applyAlignment="1">
      <alignment horizontal="center" vertical="center"/>
    </xf>
    <xf numFmtId="0" fontId="68" fillId="7" borderId="32" xfId="1" applyFont="1" applyFill="1" applyBorder="1" applyAlignment="1">
      <alignment horizontal="center" vertical="center"/>
    </xf>
    <xf numFmtId="0" fontId="68" fillId="7" borderId="33" xfId="1" applyFont="1" applyFill="1" applyBorder="1" applyAlignment="1">
      <alignment horizontal="center" vertical="center"/>
    </xf>
    <xf numFmtId="0" fontId="68" fillId="8" borderId="31" xfId="1" applyFont="1" applyFill="1" applyBorder="1" applyAlignment="1">
      <alignment horizontal="center" vertical="center"/>
    </xf>
    <xf numFmtId="0" fontId="68" fillId="8" borderId="32" xfId="1" applyFont="1" applyFill="1" applyBorder="1" applyAlignment="1">
      <alignment horizontal="center" vertical="center"/>
    </xf>
    <xf numFmtId="0" fontId="68" fillId="8" borderId="33" xfId="1" applyFont="1" applyFill="1" applyBorder="1" applyAlignment="1">
      <alignment horizontal="center" vertical="center"/>
    </xf>
    <xf numFmtId="0" fontId="45" fillId="0" borderId="0" xfId="1" applyFont="1" applyAlignment="1" applyProtection="1">
      <alignment horizontal="center" vertical="center"/>
      <protection locked="0"/>
    </xf>
    <xf numFmtId="0" fontId="7" fillId="0" borderId="0" xfId="2" applyAlignment="1" applyProtection="1">
      <alignment horizontal="center" vertical="center"/>
      <protection locked="0"/>
    </xf>
    <xf numFmtId="168" fontId="45" fillId="0" borderId="0" xfId="1" applyNumberFormat="1" applyFont="1" applyAlignment="1" applyProtection="1">
      <alignment horizontal="center" vertical="center"/>
      <protection locked="0"/>
    </xf>
    <xf numFmtId="0" fontId="67" fillId="5" borderId="42" xfId="1" applyFont="1" applyFill="1" applyBorder="1" applyAlignment="1">
      <alignment horizontal="center" vertical="center" wrapText="1"/>
    </xf>
    <xf numFmtId="0" fontId="67" fillId="5" borderId="41" xfId="1" applyFont="1" applyFill="1" applyBorder="1" applyAlignment="1">
      <alignment horizontal="center" vertical="center" wrapText="1"/>
    </xf>
    <xf numFmtId="0" fontId="67" fillId="5" borderId="43" xfId="1" applyFont="1" applyFill="1" applyBorder="1" applyAlignment="1">
      <alignment horizontal="center" vertical="center" wrapText="1"/>
    </xf>
    <xf numFmtId="0" fontId="11" fillId="4" borderId="0" xfId="1" applyFont="1" applyFill="1" applyAlignment="1" applyProtection="1">
      <alignment horizontal="center" vertical="center"/>
      <protection locked="0"/>
    </xf>
    <xf numFmtId="0" fontId="46" fillId="0" borderId="0" xfId="1" applyFont="1" applyAlignment="1" applyProtection="1">
      <alignment horizontal="center" vertical="center"/>
      <protection locked="0"/>
    </xf>
    <xf numFmtId="0" fontId="17" fillId="4" borderId="58" xfId="1" applyFont="1" applyFill="1" applyBorder="1" applyAlignment="1">
      <alignment horizontal="center" vertical="center"/>
    </xf>
    <xf numFmtId="0" fontId="17" fillId="4" borderId="59" xfId="1" applyFont="1" applyFill="1" applyBorder="1" applyAlignment="1">
      <alignment horizontal="center" vertical="center"/>
    </xf>
    <xf numFmtId="0" fontId="17" fillId="4" borderId="60" xfId="1" applyFont="1" applyFill="1" applyBorder="1" applyAlignment="1">
      <alignment horizontal="center" vertical="center"/>
    </xf>
    <xf numFmtId="0" fontId="24" fillId="3" borderId="0" xfId="0" applyFont="1" applyFill="1" applyAlignment="1">
      <alignment horizontal="center"/>
    </xf>
    <xf numFmtId="0" fontId="33" fillId="3" borderId="0" xfId="0" applyFont="1" applyFill="1" applyAlignment="1">
      <alignment horizontal="center"/>
    </xf>
    <xf numFmtId="0" fontId="30" fillId="3" borderId="0" xfId="2" applyFont="1" applyFill="1" applyAlignment="1">
      <alignment horizontal="left" vertical="center"/>
    </xf>
    <xf numFmtId="0" fontId="17" fillId="8" borderId="58" xfId="1" applyFont="1" applyFill="1" applyBorder="1" applyAlignment="1">
      <alignment horizontal="center" vertical="center"/>
    </xf>
    <xf numFmtId="0" fontId="17" fillId="8" borderId="59" xfId="1" applyFont="1" applyFill="1" applyBorder="1" applyAlignment="1">
      <alignment horizontal="center" vertical="center"/>
    </xf>
    <xf numFmtId="0" fontId="17" fillId="8" borderId="60" xfId="1" applyFont="1" applyFill="1" applyBorder="1" applyAlignment="1">
      <alignment horizontal="center" vertical="center"/>
    </xf>
    <xf numFmtId="0" fontId="17" fillId="5" borderId="44" xfId="1" applyFont="1" applyFill="1" applyBorder="1" applyAlignment="1">
      <alignment horizontal="center" vertical="center" wrapText="1"/>
    </xf>
    <xf numFmtId="0" fontId="17" fillId="5" borderId="48" xfId="1" applyFont="1" applyFill="1" applyBorder="1" applyAlignment="1">
      <alignment horizontal="center" vertical="center" wrapText="1"/>
    </xf>
    <xf numFmtId="0" fontId="17" fillId="5" borderId="50" xfId="1" applyFont="1" applyFill="1" applyBorder="1" applyAlignment="1">
      <alignment horizontal="center" vertical="center" wrapText="1"/>
    </xf>
    <xf numFmtId="0" fontId="17" fillId="7" borderId="58" xfId="1" applyFont="1" applyFill="1" applyBorder="1" applyAlignment="1">
      <alignment horizontal="center" vertical="center"/>
    </xf>
    <xf numFmtId="0" fontId="17" fillId="7" borderId="59" xfId="1" applyFont="1" applyFill="1" applyBorder="1" applyAlignment="1">
      <alignment horizontal="center" vertical="center"/>
    </xf>
    <xf numFmtId="0" fontId="17" fillId="7" borderId="60" xfId="1" applyFont="1" applyFill="1" applyBorder="1" applyAlignment="1">
      <alignment horizontal="center" vertical="center"/>
    </xf>
    <xf numFmtId="0" fontId="17" fillId="7" borderId="45" xfId="1" applyFont="1" applyFill="1" applyBorder="1" applyAlignment="1">
      <alignment horizontal="left" vertical="center" indent="2"/>
    </xf>
    <xf numFmtId="0" fontId="17" fillId="7" borderId="46" xfId="1" applyFont="1" applyFill="1" applyBorder="1" applyAlignment="1">
      <alignment horizontal="left" vertical="center" indent="2"/>
    </xf>
    <xf numFmtId="0" fontId="17" fillId="7" borderId="6" xfId="1" applyFont="1" applyFill="1" applyBorder="1" applyAlignment="1">
      <alignment horizontal="left" vertical="center" indent="2"/>
    </xf>
    <xf numFmtId="0" fontId="17" fillId="7" borderId="8" xfId="1" applyFont="1" applyFill="1" applyBorder="1" applyAlignment="1">
      <alignment horizontal="left" vertical="center" indent="2"/>
    </xf>
    <xf numFmtId="0" fontId="17" fillId="7" borderId="51" xfId="1" applyFont="1" applyFill="1" applyBorder="1" applyAlignment="1">
      <alignment horizontal="left" vertical="center" indent="2"/>
    </xf>
    <xf numFmtId="0" fontId="17" fillId="7" borderId="52" xfId="1" applyFont="1" applyFill="1" applyBorder="1" applyAlignment="1">
      <alignment horizontal="left" vertical="center" indent="2"/>
    </xf>
    <xf numFmtId="0" fontId="17" fillId="8" borderId="45" xfId="1" applyFont="1" applyFill="1" applyBorder="1" applyAlignment="1">
      <alignment horizontal="left" vertical="center" indent="2"/>
    </xf>
    <xf numFmtId="0" fontId="17" fillId="8" borderId="46" xfId="1" applyFont="1" applyFill="1" applyBorder="1" applyAlignment="1">
      <alignment horizontal="left" vertical="center" indent="2"/>
    </xf>
    <xf numFmtId="0" fontId="17" fillId="8" borderId="6" xfId="1" applyFont="1" applyFill="1" applyBorder="1" applyAlignment="1">
      <alignment horizontal="left" vertical="center" indent="2"/>
    </xf>
    <xf numFmtId="0" fontId="17" fillId="8" borderId="8" xfId="1" applyFont="1" applyFill="1" applyBorder="1" applyAlignment="1">
      <alignment horizontal="left" vertical="center" indent="2"/>
    </xf>
    <xf numFmtId="0" fontId="17" fillId="4" borderId="51" xfId="1" applyFont="1" applyFill="1" applyBorder="1" applyAlignment="1">
      <alignment horizontal="left" vertical="center" indent="2"/>
    </xf>
    <xf numFmtId="0" fontId="17" fillId="4" borderId="52" xfId="1" applyFont="1" applyFill="1" applyBorder="1" applyAlignment="1">
      <alignment horizontal="left" vertical="center" indent="2"/>
    </xf>
    <xf numFmtId="0" fontId="17" fillId="8" borderId="51" xfId="1" applyFont="1" applyFill="1" applyBorder="1" applyAlignment="1">
      <alignment horizontal="left" vertical="center" indent="2"/>
    </xf>
    <xf numFmtId="0" fontId="17" fillId="8" borderId="52" xfId="1" applyFont="1" applyFill="1" applyBorder="1" applyAlignment="1">
      <alignment horizontal="left" vertical="center" indent="2"/>
    </xf>
    <xf numFmtId="0" fontId="17" fillId="4" borderId="45" xfId="1" applyFont="1" applyFill="1" applyBorder="1" applyAlignment="1">
      <alignment horizontal="left" vertical="center" indent="2"/>
    </xf>
    <xf numFmtId="0" fontId="17" fillId="4" borderId="46" xfId="1" applyFont="1" applyFill="1" applyBorder="1" applyAlignment="1">
      <alignment horizontal="left" vertical="center" indent="2"/>
    </xf>
    <xf numFmtId="0" fontId="17" fillId="4" borderId="6" xfId="1" applyFont="1" applyFill="1" applyBorder="1" applyAlignment="1">
      <alignment horizontal="left" vertical="center" indent="2"/>
    </xf>
    <xf numFmtId="0" fontId="17" fillId="4" borderId="8" xfId="1" applyFont="1" applyFill="1" applyBorder="1" applyAlignment="1">
      <alignment horizontal="left" vertical="center" indent="2"/>
    </xf>
    <xf numFmtId="0" fontId="8" fillId="3" borderId="0" xfId="1" applyFont="1" applyFill="1" applyAlignment="1">
      <alignment horizontal="center" wrapText="1"/>
    </xf>
    <xf numFmtId="0" fontId="4" fillId="7" borderId="7" xfId="1" applyFont="1" applyFill="1" applyBorder="1" applyAlignment="1">
      <alignment horizontal="center" vertical="center"/>
    </xf>
    <xf numFmtId="0" fontId="4" fillId="7" borderId="8" xfId="1" applyFont="1" applyFill="1" applyBorder="1" applyAlignment="1">
      <alignment horizontal="center" vertical="center"/>
    </xf>
    <xf numFmtId="0" fontId="4" fillId="8" borderId="6" xfId="1" applyFont="1" applyFill="1" applyBorder="1" applyAlignment="1">
      <alignment horizontal="center" vertical="center"/>
    </xf>
    <xf numFmtId="0" fontId="4" fillId="8" borderId="7" xfId="1" applyFont="1" applyFill="1" applyBorder="1" applyAlignment="1">
      <alignment horizontal="center" vertical="center"/>
    </xf>
    <xf numFmtId="0" fontId="4" fillId="8" borderId="8" xfId="1" applyFont="1" applyFill="1" applyBorder="1" applyAlignment="1">
      <alignment horizontal="center" vertical="center"/>
    </xf>
    <xf numFmtId="0" fontId="1" fillId="0" borderId="0" xfId="1" applyAlignment="1">
      <alignment horizontal="center"/>
    </xf>
    <xf numFmtId="0" fontId="11" fillId="4" borderId="6" xfId="1" applyFont="1" applyFill="1" applyBorder="1" applyAlignment="1">
      <alignment horizontal="center" vertical="center"/>
    </xf>
    <xf numFmtId="0" fontId="11" fillId="4" borderId="7" xfId="1" applyFont="1" applyFill="1" applyBorder="1" applyAlignment="1">
      <alignment horizontal="center" vertical="center"/>
    </xf>
    <xf numFmtId="0" fontId="11" fillId="4" borderId="8" xfId="1" applyFont="1" applyFill="1" applyBorder="1" applyAlignment="1">
      <alignment horizontal="center" vertical="center"/>
    </xf>
    <xf numFmtId="0" fontId="47" fillId="10" borderId="21" xfId="0" applyFont="1" applyFill="1" applyBorder="1" applyAlignment="1">
      <alignment horizontal="center" vertical="center" wrapText="1"/>
    </xf>
    <xf numFmtId="0" fontId="47" fillId="10" borderId="20" xfId="0" applyFont="1" applyFill="1" applyBorder="1" applyAlignment="1">
      <alignment horizontal="center" vertical="center" wrapText="1"/>
    </xf>
    <xf numFmtId="0" fontId="6" fillId="4" borderId="0" xfId="1" applyFont="1" applyFill="1" applyAlignment="1">
      <alignment horizontal="center"/>
    </xf>
    <xf numFmtId="0" fontId="4" fillId="5" borderId="6" xfId="1" applyFont="1" applyFill="1" applyBorder="1" applyAlignment="1">
      <alignment horizontal="center" vertical="center" wrapText="1"/>
    </xf>
    <xf numFmtId="0" fontId="4" fillId="5" borderId="7" xfId="1" applyFont="1" applyFill="1" applyBorder="1" applyAlignment="1">
      <alignment horizontal="center" vertical="center" wrapText="1"/>
    </xf>
    <xf numFmtId="0" fontId="4" fillId="5" borderId="8" xfId="1" applyFont="1" applyFill="1" applyBorder="1" applyAlignment="1">
      <alignment horizontal="center" vertical="center" wrapText="1"/>
    </xf>
    <xf numFmtId="0" fontId="25" fillId="3" borderId="0" xfId="0" applyFont="1" applyFill="1" applyAlignment="1">
      <alignment horizontal="center" vertical="center"/>
    </xf>
    <xf numFmtId="0" fontId="17" fillId="7" borderId="8" xfId="1" applyFont="1" applyFill="1" applyBorder="1" applyAlignment="1">
      <alignment horizontal="center" vertical="center"/>
    </xf>
    <xf numFmtId="0" fontId="17" fillId="8" borderId="8" xfId="1" applyFont="1" applyFill="1" applyBorder="1" applyAlignment="1">
      <alignment horizontal="center" vertical="center"/>
    </xf>
    <xf numFmtId="0" fontId="17" fillId="4" borderId="10" xfId="1" applyFont="1" applyFill="1" applyBorder="1" applyAlignment="1">
      <alignment horizontal="center" vertical="center"/>
    </xf>
    <xf numFmtId="0" fontId="17" fillId="4" borderId="13" xfId="1" applyFont="1" applyFill="1" applyBorder="1" applyAlignment="1">
      <alignment horizontal="center" vertical="center"/>
    </xf>
    <xf numFmtId="0" fontId="17" fillId="4" borderId="14" xfId="1" applyFont="1" applyFill="1" applyBorder="1" applyAlignment="1">
      <alignment horizontal="center" vertical="center"/>
    </xf>
    <xf numFmtId="0" fontId="33" fillId="3" borderId="17" xfId="0" applyFont="1" applyFill="1" applyBorder="1" applyAlignment="1">
      <alignment horizontal="center"/>
    </xf>
    <xf numFmtId="0" fontId="24" fillId="3" borderId="2" xfId="0" applyFont="1" applyFill="1" applyBorder="1" applyAlignment="1">
      <alignment horizontal="center"/>
    </xf>
    <xf numFmtId="0" fontId="17" fillId="5" borderId="18" xfId="1" applyFont="1" applyFill="1" applyBorder="1" applyAlignment="1">
      <alignment horizontal="center" vertical="center" wrapText="1"/>
    </xf>
    <xf numFmtId="0" fontId="17" fillId="5" borderId="17" xfId="1" applyFont="1" applyFill="1" applyBorder="1" applyAlignment="1">
      <alignment horizontal="center" vertical="center" wrapText="1"/>
    </xf>
    <xf numFmtId="0" fontId="17" fillId="5" borderId="16" xfId="1" applyFont="1" applyFill="1" applyBorder="1" applyAlignment="1">
      <alignment horizontal="center" vertical="center" wrapText="1"/>
    </xf>
  </cellXfs>
  <cellStyles count="3">
    <cellStyle name="Lien hypertexte" xfId="2" builtinId="8"/>
    <cellStyle name="Normal" xfId="0" builtinId="0"/>
    <cellStyle name="Normal 2" xfId="1" xr:uid="{05774507-D2D4-44CF-B448-6444C617F4DC}"/>
  </cellStyles>
  <dxfs count="3">
    <dxf>
      <font>
        <color theme="0"/>
      </font>
    </dxf>
    <dxf>
      <font>
        <color theme="0"/>
      </font>
    </dxf>
    <dxf>
      <font>
        <color theme="0"/>
      </font>
    </dxf>
  </dxfs>
  <tableStyles count="1" defaultTableStyle="TableStyleMedium2" defaultPivotStyle="PivotStyleLight16">
    <tableStyle name="Invisible" pivot="0" table="0" count="0" xr9:uid="{B62ED210-487F-4323-BF6B-C5EAFFF11617}"/>
  </tableStyles>
  <colors>
    <mruColors>
      <color rgb="FF49F0B1"/>
      <color rgb="FF4FF0C1"/>
      <color rgb="FF10C681"/>
      <color rgb="FF0B8355"/>
      <color rgb="FF00A79B"/>
      <color rgb="FFFF6707"/>
      <color rgb="FF1D4851"/>
      <color rgb="FFC93857"/>
      <color rgb="FFFFA8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hyperlink" Target="https://www.akto.fr/services-plus/" TargetMode="External"/><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https://www.akto.fr/" TargetMode="External"/><Relationship Id="rId6" Type="http://schemas.openxmlformats.org/officeDocument/2006/relationships/image" Target="../media/image3.png"/><Relationship Id="rId5" Type="http://schemas.openxmlformats.org/officeDocument/2006/relationships/hyperlink" Target="https://www.akto.fr/contact/" TargetMode="Externa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hyperlink" Target="https://www.akto.fr/mon-espace/"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hyperlink" Target="http://www.akto.fr" TargetMode="External"/><Relationship Id="rId6" Type="http://schemas.openxmlformats.org/officeDocument/2006/relationships/hyperlink" Target="https://www.akto.fr/financer-une-formation/regles-de-prise-en-charge/" TargetMode="External"/><Relationship Id="rId5" Type="http://schemas.openxmlformats.org/officeDocument/2006/relationships/image" Target="../media/image6.png"/><Relationship Id="rId4" Type="http://schemas.openxmlformats.org/officeDocument/2006/relationships/hyperlink" Target="https://www.akto.fr/mon-espace/"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www.akto.fr/mon-espace/" TargetMode="External"/><Relationship Id="rId2" Type="http://schemas.openxmlformats.org/officeDocument/2006/relationships/image" Target="../media/image7.png"/><Relationship Id="rId1" Type="http://schemas.openxmlformats.org/officeDocument/2006/relationships/image" Target="../media/image1.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hyperlink" Target="https://www.akto.fr/" TargetMode="External"/><Relationship Id="rId3" Type="http://schemas.openxmlformats.org/officeDocument/2006/relationships/hyperlink" Target="https://www.akto.fr/mon-espace/" TargetMode="External"/><Relationship Id="rId7"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hyperlink" Target="https://www.akto.fr/financer-une-formation/regles-de-prise-en-charge/" TargetMode="External"/><Relationship Id="rId5" Type="http://schemas.openxmlformats.org/officeDocument/2006/relationships/image" Target="../media/image9.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hyperlink" Target="https://www.akto.fr/mon-espace/" TargetMode="External"/><Relationship Id="rId2" Type="http://schemas.openxmlformats.org/officeDocument/2006/relationships/image" Target="../media/image7.png"/><Relationship Id="rId1" Type="http://schemas.openxmlformats.org/officeDocument/2006/relationships/image" Target="../media/image1.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1</xdr:row>
      <xdr:rowOff>96763</xdr:rowOff>
    </xdr:from>
    <xdr:to>
      <xdr:col>1</xdr:col>
      <xdr:colOff>2173930</xdr:colOff>
      <xdr:row>1</xdr:row>
      <xdr:rowOff>735542</xdr:rowOff>
    </xdr:to>
    <xdr:pic>
      <xdr:nvPicPr>
        <xdr:cNvPr id="2" name="Image 1" descr="Une image contenant texte, clipart&#10;&#10;Description générée automatiquement">
          <a:hlinkClick xmlns:r="http://schemas.openxmlformats.org/officeDocument/2006/relationships" r:id="rId1"/>
          <a:extLst>
            <a:ext uri="{FF2B5EF4-FFF2-40B4-BE49-F238E27FC236}">
              <a16:creationId xmlns:a16="http://schemas.microsoft.com/office/drawing/2014/main" id="{821331C3-5F56-453D-8D4F-66F21B08CCC3}"/>
            </a:ext>
          </a:extLst>
        </xdr:cNvPr>
        <xdr:cNvPicPr>
          <a:picLocks noChangeAspect="1"/>
        </xdr:cNvPicPr>
      </xdr:nvPicPr>
      <xdr:blipFill>
        <a:blip xmlns:r="http://schemas.openxmlformats.org/officeDocument/2006/relationships" r:embed="rId2"/>
        <a:stretch>
          <a:fillRect/>
        </a:stretch>
      </xdr:blipFill>
      <xdr:spPr>
        <a:xfrm>
          <a:off x="133350" y="96763"/>
          <a:ext cx="2040580" cy="638779"/>
        </a:xfrm>
        <a:prstGeom prst="rect">
          <a:avLst/>
        </a:prstGeom>
      </xdr:spPr>
    </xdr:pic>
    <xdr:clientData/>
  </xdr:twoCellAnchor>
  <xdr:twoCellAnchor>
    <xdr:from>
      <xdr:col>1</xdr:col>
      <xdr:colOff>2725352</xdr:colOff>
      <xdr:row>1</xdr:row>
      <xdr:rowOff>583406</xdr:rowOff>
    </xdr:from>
    <xdr:to>
      <xdr:col>1</xdr:col>
      <xdr:colOff>14561368</xdr:colOff>
      <xdr:row>1</xdr:row>
      <xdr:rowOff>1366573</xdr:rowOff>
    </xdr:to>
    <xdr:sp macro="" textlink="">
      <xdr:nvSpPr>
        <xdr:cNvPr id="3" name="ZoneTexte 2">
          <a:extLst>
            <a:ext uri="{FF2B5EF4-FFF2-40B4-BE49-F238E27FC236}">
              <a16:creationId xmlns:a16="http://schemas.microsoft.com/office/drawing/2014/main" id="{BBD7089E-9843-4E9A-A377-3BB38EC2FC4E}"/>
            </a:ext>
          </a:extLst>
        </xdr:cNvPr>
        <xdr:cNvSpPr txBox="1"/>
      </xdr:nvSpPr>
      <xdr:spPr>
        <a:xfrm>
          <a:off x="2725352" y="738187"/>
          <a:ext cx="11836016" cy="7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3200">
              <a:solidFill>
                <a:schemeClr val="bg1"/>
              </a:solidFill>
              <a:latin typeface="Arial Black" panose="020B0A04020102020204" pitchFamily="34" charset="0"/>
            </a:rPr>
            <a:t>Plan de développement des compétences</a:t>
          </a:r>
          <a:r>
            <a:rPr lang="fr-FR" sz="1000">
              <a:solidFill>
                <a:schemeClr val="bg1"/>
              </a:solidFill>
              <a:latin typeface="Arial Black" panose="020B0A04020102020204" pitchFamily="34" charset="0"/>
            </a:rPr>
            <a:t> </a:t>
          </a:r>
          <a:r>
            <a:rPr lang="fr-FR" sz="800" b="1" i="1">
              <a:solidFill>
                <a:schemeClr val="bg1"/>
              </a:solidFill>
              <a:latin typeface="Arial Black" panose="020B0A04020102020204" pitchFamily="34" charset="0"/>
            </a:rPr>
            <a:t>V6.01</a:t>
          </a:r>
          <a:endParaRPr lang="fr-FR" sz="3200" b="1" i="1">
            <a:solidFill>
              <a:schemeClr val="bg1"/>
            </a:solidFill>
            <a:latin typeface="Arial Black" panose="020B0A04020102020204" pitchFamily="34" charset="0"/>
          </a:endParaRPr>
        </a:p>
      </xdr:txBody>
    </xdr:sp>
    <xdr:clientData/>
  </xdr:twoCellAnchor>
  <xdr:twoCellAnchor editAs="oneCell">
    <xdr:from>
      <xdr:col>1</xdr:col>
      <xdr:colOff>12525374</xdr:colOff>
      <xdr:row>1</xdr:row>
      <xdr:rowOff>95250</xdr:rowOff>
    </xdr:from>
    <xdr:to>
      <xdr:col>1</xdr:col>
      <xdr:colOff>14885689</xdr:colOff>
      <xdr:row>1</xdr:row>
      <xdr:rowOff>781050</xdr:rowOff>
    </xdr:to>
    <xdr:pic>
      <xdr:nvPicPr>
        <xdr:cNvPr id="5" name="Image 4">
          <a:hlinkClick xmlns:r="http://schemas.openxmlformats.org/officeDocument/2006/relationships" r:id="rId3"/>
          <a:extLst>
            <a:ext uri="{FF2B5EF4-FFF2-40B4-BE49-F238E27FC236}">
              <a16:creationId xmlns:a16="http://schemas.microsoft.com/office/drawing/2014/main" id="{BBC5CC34-E19A-6B49-8CFE-670C0DA4E68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11050" b="11050"/>
        <a:stretch/>
      </xdr:blipFill>
      <xdr:spPr bwMode="auto">
        <a:xfrm>
          <a:off x="12525374" y="250031"/>
          <a:ext cx="2360315" cy="6858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13454063</xdr:colOff>
      <xdr:row>10</xdr:row>
      <xdr:rowOff>86518</xdr:rowOff>
    </xdr:from>
    <xdr:to>
      <xdr:col>2</xdr:col>
      <xdr:colOff>333375</xdr:colOff>
      <xdr:row>13</xdr:row>
      <xdr:rowOff>266777</xdr:rowOff>
    </xdr:to>
    <xdr:pic>
      <xdr:nvPicPr>
        <xdr:cNvPr id="6" name="Image 5">
          <a:hlinkClick xmlns:r="http://schemas.openxmlformats.org/officeDocument/2006/relationships" r:id="rId5"/>
          <a:extLst>
            <a:ext uri="{FF2B5EF4-FFF2-40B4-BE49-F238E27FC236}">
              <a16:creationId xmlns:a16="http://schemas.microsoft.com/office/drawing/2014/main" id="{1801400D-6AA6-162E-9489-B11E808AAD69}"/>
            </a:ext>
          </a:extLst>
        </xdr:cNvPr>
        <xdr:cNvPicPr>
          <a:picLocks noChangeAspect="1"/>
        </xdr:cNvPicPr>
      </xdr:nvPicPr>
      <xdr:blipFill>
        <a:blip xmlns:r="http://schemas.openxmlformats.org/officeDocument/2006/relationships" r:embed="rId6"/>
        <a:stretch>
          <a:fillRect/>
        </a:stretch>
      </xdr:blipFill>
      <xdr:spPr>
        <a:xfrm>
          <a:off x="14216063" y="7420768"/>
          <a:ext cx="2107406" cy="668415"/>
        </a:xfrm>
        <a:prstGeom prst="rect">
          <a:avLst/>
        </a:prstGeom>
      </xdr:spPr>
    </xdr:pic>
    <xdr:clientData/>
  </xdr:twoCellAnchor>
  <xdr:twoCellAnchor editAs="oneCell">
    <xdr:from>
      <xdr:col>1</xdr:col>
      <xdr:colOff>14049376</xdr:colOff>
      <xdr:row>12</xdr:row>
      <xdr:rowOff>71438</xdr:rowOff>
    </xdr:from>
    <xdr:to>
      <xdr:col>1</xdr:col>
      <xdr:colOff>14963776</xdr:colOff>
      <xdr:row>16</xdr:row>
      <xdr:rowOff>92869</xdr:rowOff>
    </xdr:to>
    <xdr:pic>
      <xdr:nvPicPr>
        <xdr:cNvPr id="9" name="Graphique 8" descr="Téléphone avec un remplissage uni">
          <a:hlinkClick xmlns:r="http://schemas.openxmlformats.org/officeDocument/2006/relationships" r:id="rId5"/>
          <a:extLst>
            <a:ext uri="{FF2B5EF4-FFF2-40B4-BE49-F238E27FC236}">
              <a16:creationId xmlns:a16="http://schemas.microsoft.com/office/drawing/2014/main" id="{CE207927-3278-136E-2615-0B0148CC28E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4049376" y="7739063"/>
          <a:ext cx="914400" cy="914400"/>
        </a:xfrm>
        <a:prstGeom prst="rect">
          <a:avLst/>
        </a:prstGeom>
      </xdr:spPr>
    </xdr:pic>
    <xdr:clientData/>
  </xdr:twoCellAnchor>
  <xdr:twoCellAnchor editAs="oneCell">
    <xdr:from>
      <xdr:col>1</xdr:col>
      <xdr:colOff>892970</xdr:colOff>
      <xdr:row>8</xdr:row>
      <xdr:rowOff>55580</xdr:rowOff>
    </xdr:from>
    <xdr:to>
      <xdr:col>1</xdr:col>
      <xdr:colOff>2988470</xdr:colOff>
      <xdr:row>13</xdr:row>
      <xdr:rowOff>273843</xdr:rowOff>
    </xdr:to>
    <xdr:pic>
      <xdr:nvPicPr>
        <xdr:cNvPr id="4" name="Image 3">
          <a:hlinkClick xmlns:r="http://schemas.openxmlformats.org/officeDocument/2006/relationships" r:id="rId9"/>
          <a:extLst>
            <a:ext uri="{FF2B5EF4-FFF2-40B4-BE49-F238E27FC236}">
              <a16:creationId xmlns:a16="http://schemas.microsoft.com/office/drawing/2014/main" id="{4185246F-3126-4AF0-BC1C-933F8B0297D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92970" y="6604018"/>
          <a:ext cx="2095500" cy="1039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264024</xdr:colOff>
      <xdr:row>0</xdr:row>
      <xdr:rowOff>234123</xdr:rowOff>
    </xdr:from>
    <xdr:to>
      <xdr:col>1</xdr:col>
      <xdr:colOff>693096</xdr:colOff>
      <xdr:row>0</xdr:row>
      <xdr:rowOff>869727</xdr:rowOff>
    </xdr:to>
    <xdr:pic>
      <xdr:nvPicPr>
        <xdr:cNvPr id="2" name="Image 1" descr="Une image contenant texte, clipart&#10;&#10;Description générée automatiquement">
          <a:hlinkClick xmlns:r="http://schemas.openxmlformats.org/officeDocument/2006/relationships" r:id="rId1"/>
          <a:extLst>
            <a:ext uri="{FF2B5EF4-FFF2-40B4-BE49-F238E27FC236}">
              <a16:creationId xmlns:a16="http://schemas.microsoft.com/office/drawing/2014/main" id="{EF4B325A-41AC-488E-9C24-BA48C1B172E0}"/>
            </a:ext>
          </a:extLst>
        </xdr:cNvPr>
        <xdr:cNvPicPr>
          <a:picLocks noChangeAspect="1"/>
        </xdr:cNvPicPr>
      </xdr:nvPicPr>
      <xdr:blipFill>
        <a:blip xmlns:r="http://schemas.openxmlformats.org/officeDocument/2006/relationships" r:embed="rId2"/>
        <a:stretch>
          <a:fillRect/>
        </a:stretch>
      </xdr:blipFill>
      <xdr:spPr>
        <a:xfrm>
          <a:off x="264024" y="234123"/>
          <a:ext cx="2032781" cy="638779"/>
        </a:xfrm>
        <a:prstGeom prst="rect">
          <a:avLst/>
        </a:prstGeom>
      </xdr:spPr>
    </xdr:pic>
    <xdr:clientData/>
  </xdr:twoCellAnchor>
  <xdr:twoCellAnchor>
    <xdr:from>
      <xdr:col>2</xdr:col>
      <xdr:colOff>400495</xdr:colOff>
      <xdr:row>0</xdr:row>
      <xdr:rowOff>156580</xdr:rowOff>
    </xdr:from>
    <xdr:to>
      <xdr:col>10</xdr:col>
      <xdr:colOff>33421</xdr:colOff>
      <xdr:row>0</xdr:row>
      <xdr:rowOff>875076</xdr:rowOff>
    </xdr:to>
    <xdr:sp macro="" textlink="">
      <xdr:nvSpPr>
        <xdr:cNvPr id="3" name="ZoneTexte 2">
          <a:extLst>
            <a:ext uri="{FF2B5EF4-FFF2-40B4-BE49-F238E27FC236}">
              <a16:creationId xmlns:a16="http://schemas.microsoft.com/office/drawing/2014/main" id="{4CF714BF-B8D5-4401-8955-DEB9A4F62BA4}"/>
            </a:ext>
          </a:extLst>
        </xdr:cNvPr>
        <xdr:cNvSpPr txBox="1"/>
      </xdr:nvSpPr>
      <xdr:spPr>
        <a:xfrm>
          <a:off x="3586078" y="156580"/>
          <a:ext cx="8353593" cy="718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a:solidFill>
                <a:schemeClr val="bg1"/>
              </a:solidFill>
              <a:latin typeface="Arial Black" panose="020B0A04020102020204" pitchFamily="34" charset="0"/>
            </a:rPr>
            <a:t>Plan de développement des compétences</a:t>
          </a:r>
          <a:r>
            <a:rPr lang="fr-FR" sz="1200" baseline="84000">
              <a:solidFill>
                <a:schemeClr val="bg1"/>
              </a:solidFill>
              <a:effectLst/>
              <a:latin typeface="+mn-lt"/>
              <a:ea typeface="+mn-ea"/>
              <a:cs typeface="+mn-cs"/>
            </a:rPr>
            <a:t>*</a:t>
          </a:r>
          <a:endParaRPr lang="fr-FR" sz="2800">
            <a:solidFill>
              <a:schemeClr val="bg1"/>
            </a:solidFill>
            <a:latin typeface="Arial Black" panose="020B0A04020102020204" pitchFamily="34" charset="0"/>
          </a:endParaRPr>
        </a:p>
      </xdr:txBody>
    </xdr:sp>
    <xdr:clientData/>
  </xdr:twoCellAnchor>
  <xdr:twoCellAnchor editAs="oneCell">
    <xdr:from>
      <xdr:col>11</xdr:col>
      <xdr:colOff>310817</xdr:colOff>
      <xdr:row>0</xdr:row>
      <xdr:rowOff>223046</xdr:rowOff>
    </xdr:from>
    <xdr:to>
      <xdr:col>14</xdr:col>
      <xdr:colOff>126044</xdr:colOff>
      <xdr:row>0</xdr:row>
      <xdr:rowOff>992442</xdr:rowOff>
    </xdr:to>
    <xdr:pic>
      <xdr:nvPicPr>
        <xdr:cNvPr id="4" name="Image 3">
          <a:extLst>
            <a:ext uri="{FF2B5EF4-FFF2-40B4-BE49-F238E27FC236}">
              <a16:creationId xmlns:a16="http://schemas.microsoft.com/office/drawing/2014/main" id="{2752B516-B73E-4335-B9E0-26BA4C173BAF}"/>
            </a:ext>
          </a:extLst>
        </xdr:cNvPr>
        <xdr:cNvPicPr>
          <a:picLocks noChangeAspect="1"/>
        </xdr:cNvPicPr>
      </xdr:nvPicPr>
      <xdr:blipFill>
        <a:blip xmlns:r="http://schemas.openxmlformats.org/officeDocument/2006/relationships" r:embed="rId3"/>
        <a:stretch>
          <a:fillRect/>
        </a:stretch>
      </xdr:blipFill>
      <xdr:spPr>
        <a:xfrm>
          <a:off x="12502817" y="223046"/>
          <a:ext cx="2420231" cy="769396"/>
        </a:xfrm>
        <a:prstGeom prst="rect">
          <a:avLst/>
        </a:prstGeom>
      </xdr:spPr>
    </xdr:pic>
    <xdr:clientData/>
  </xdr:twoCellAnchor>
  <xdr:twoCellAnchor editAs="oneCell">
    <xdr:from>
      <xdr:col>0</xdr:col>
      <xdr:colOff>566713</xdr:colOff>
      <xdr:row>4</xdr:row>
      <xdr:rowOff>57568</xdr:rowOff>
    </xdr:from>
    <xdr:to>
      <xdr:col>1</xdr:col>
      <xdr:colOff>388199</xdr:colOff>
      <xdr:row>6</xdr:row>
      <xdr:rowOff>235351</xdr:rowOff>
    </xdr:to>
    <xdr:pic>
      <xdr:nvPicPr>
        <xdr:cNvPr id="5" name="Image 4">
          <a:hlinkClick xmlns:r="http://schemas.openxmlformats.org/officeDocument/2006/relationships" r:id="rId4"/>
          <a:extLst>
            <a:ext uri="{FF2B5EF4-FFF2-40B4-BE49-F238E27FC236}">
              <a16:creationId xmlns:a16="http://schemas.microsoft.com/office/drawing/2014/main" id="{43EA1F10-DAFF-45B1-8FC9-C311703AD3D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6713" y="1701884"/>
          <a:ext cx="1425195" cy="675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611607</xdr:colOff>
      <xdr:row>4</xdr:row>
      <xdr:rowOff>153569</xdr:rowOff>
    </xdr:from>
    <xdr:to>
      <xdr:col>14</xdr:col>
      <xdr:colOff>159491</xdr:colOff>
      <xdr:row>6</xdr:row>
      <xdr:rowOff>161330</xdr:rowOff>
    </xdr:to>
    <xdr:pic>
      <xdr:nvPicPr>
        <xdr:cNvPr id="7" name="Image 6">
          <a:hlinkClick xmlns:r="http://schemas.openxmlformats.org/officeDocument/2006/relationships" r:id="rId6"/>
          <a:extLst>
            <a:ext uri="{FF2B5EF4-FFF2-40B4-BE49-F238E27FC236}">
              <a16:creationId xmlns:a16="http://schemas.microsoft.com/office/drawing/2014/main" id="{EAECAF78-B642-41D3-B38A-F2A05171CF8A}"/>
            </a:ext>
          </a:extLst>
        </xdr:cNvPr>
        <xdr:cNvPicPr>
          <a:picLocks noChangeAspect="1"/>
        </xdr:cNvPicPr>
      </xdr:nvPicPr>
      <xdr:blipFill>
        <a:blip xmlns:r="http://schemas.openxmlformats.org/officeDocument/2006/relationships" r:embed="rId7"/>
        <a:stretch>
          <a:fillRect/>
        </a:stretch>
      </xdr:blipFill>
      <xdr:spPr>
        <a:xfrm>
          <a:off x="12803607" y="1797885"/>
          <a:ext cx="2152888" cy="512252"/>
        </a:xfrm>
        <a:prstGeom prst="rect">
          <a:avLst/>
        </a:prstGeom>
        <a:solidFill>
          <a:schemeClr val="accent2">
            <a:lumMod val="60000"/>
            <a:lumOff val="40000"/>
          </a:schemeClr>
        </a:solidFill>
      </xdr:spPr>
    </xdr:pic>
    <xdr:clientData/>
  </xdr:twoCellAnchor>
  <xdr:twoCellAnchor editAs="oneCell">
    <xdr:from>
      <xdr:col>1</xdr:col>
      <xdr:colOff>1000819</xdr:colOff>
      <xdr:row>7</xdr:row>
      <xdr:rowOff>182502</xdr:rowOff>
    </xdr:from>
    <xdr:to>
      <xdr:col>1</xdr:col>
      <xdr:colOff>1168724</xdr:colOff>
      <xdr:row>8</xdr:row>
      <xdr:rowOff>164658</xdr:rowOff>
    </xdr:to>
    <xdr:pic>
      <xdr:nvPicPr>
        <xdr:cNvPr id="8" name="Image 7">
          <a:extLst>
            <a:ext uri="{FF2B5EF4-FFF2-40B4-BE49-F238E27FC236}">
              <a16:creationId xmlns:a16="http://schemas.microsoft.com/office/drawing/2014/main" id="{3AE25667-3224-4648-936C-5B3371502B7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62024" y="2784868"/>
          <a:ext cx="174255" cy="1749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0</xdr:row>
      <xdr:rowOff>153996</xdr:rowOff>
    </xdr:from>
    <xdr:to>
      <xdr:col>2</xdr:col>
      <xdr:colOff>49855</xdr:colOff>
      <xdr:row>0</xdr:row>
      <xdr:rowOff>792775</xdr:rowOff>
    </xdr:to>
    <xdr:pic>
      <xdr:nvPicPr>
        <xdr:cNvPr id="2" name="Image 1" descr="Une image contenant texte, clipart&#10;&#10;Description générée automatiquement">
          <a:extLst>
            <a:ext uri="{FF2B5EF4-FFF2-40B4-BE49-F238E27FC236}">
              <a16:creationId xmlns:a16="http://schemas.microsoft.com/office/drawing/2014/main" id="{F8AA9B80-D3CA-4B8F-B882-38D408DA0972}"/>
            </a:ext>
          </a:extLst>
        </xdr:cNvPr>
        <xdr:cNvPicPr>
          <a:picLocks noChangeAspect="1"/>
        </xdr:cNvPicPr>
      </xdr:nvPicPr>
      <xdr:blipFill>
        <a:blip xmlns:r="http://schemas.openxmlformats.org/officeDocument/2006/relationships" r:embed="rId1"/>
        <a:stretch>
          <a:fillRect/>
        </a:stretch>
      </xdr:blipFill>
      <xdr:spPr>
        <a:xfrm>
          <a:off x="104775" y="153996"/>
          <a:ext cx="2040580" cy="638779"/>
        </a:xfrm>
        <a:prstGeom prst="rect">
          <a:avLst/>
        </a:prstGeom>
      </xdr:spPr>
    </xdr:pic>
    <xdr:clientData/>
  </xdr:twoCellAnchor>
  <xdr:twoCellAnchor editAs="oneCell">
    <xdr:from>
      <xdr:col>5</xdr:col>
      <xdr:colOff>0</xdr:colOff>
      <xdr:row>0</xdr:row>
      <xdr:rowOff>76283</xdr:rowOff>
    </xdr:from>
    <xdr:to>
      <xdr:col>8</xdr:col>
      <xdr:colOff>130791</xdr:colOff>
      <xdr:row>0</xdr:row>
      <xdr:rowOff>845679</xdr:rowOff>
    </xdr:to>
    <xdr:pic>
      <xdr:nvPicPr>
        <xdr:cNvPr id="3" name="Image 2">
          <a:extLst>
            <a:ext uri="{FF2B5EF4-FFF2-40B4-BE49-F238E27FC236}">
              <a16:creationId xmlns:a16="http://schemas.microsoft.com/office/drawing/2014/main" id="{21891E48-C7B0-4AFD-A5B8-976F76F97BA0}"/>
            </a:ext>
          </a:extLst>
        </xdr:cNvPr>
        <xdr:cNvPicPr>
          <a:picLocks noChangeAspect="1"/>
        </xdr:cNvPicPr>
      </xdr:nvPicPr>
      <xdr:blipFill>
        <a:blip xmlns:r="http://schemas.openxmlformats.org/officeDocument/2006/relationships" r:embed="rId2"/>
        <a:stretch>
          <a:fillRect/>
        </a:stretch>
      </xdr:blipFill>
      <xdr:spPr>
        <a:xfrm>
          <a:off x="13187482" y="76283"/>
          <a:ext cx="2416791" cy="769396"/>
        </a:xfrm>
        <a:prstGeom prst="rect">
          <a:avLst/>
        </a:prstGeom>
      </xdr:spPr>
    </xdr:pic>
    <xdr:clientData/>
  </xdr:twoCellAnchor>
  <xdr:twoCellAnchor>
    <xdr:from>
      <xdr:col>2</xdr:col>
      <xdr:colOff>800100</xdr:colOff>
      <xdr:row>0</xdr:row>
      <xdr:rowOff>85725</xdr:rowOff>
    </xdr:from>
    <xdr:to>
      <xdr:col>5</xdr:col>
      <xdr:colOff>0</xdr:colOff>
      <xdr:row>0</xdr:row>
      <xdr:rowOff>868892</xdr:rowOff>
    </xdr:to>
    <xdr:sp macro="" textlink="">
      <xdr:nvSpPr>
        <xdr:cNvPr id="4" name="ZoneTexte 3">
          <a:extLst>
            <a:ext uri="{FF2B5EF4-FFF2-40B4-BE49-F238E27FC236}">
              <a16:creationId xmlns:a16="http://schemas.microsoft.com/office/drawing/2014/main" id="{179972CD-8B47-437E-A56D-B8C989067607}"/>
            </a:ext>
          </a:extLst>
        </xdr:cNvPr>
        <xdr:cNvSpPr txBox="1"/>
      </xdr:nvSpPr>
      <xdr:spPr>
        <a:xfrm>
          <a:off x="2895600" y="85725"/>
          <a:ext cx="12043834" cy="7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3200">
              <a:solidFill>
                <a:schemeClr val="bg1"/>
              </a:solidFill>
              <a:latin typeface="Arial Black" panose="020B0A04020102020204" pitchFamily="34" charset="0"/>
            </a:rPr>
            <a:t>Plan de développement des compétences</a:t>
          </a:r>
          <a:endParaRPr lang="fr-FR" sz="3200" baseline="84000">
            <a:solidFill>
              <a:schemeClr val="bg1"/>
            </a:solidFill>
            <a:latin typeface="Arial Black" panose="020B0A04020102020204" pitchFamily="34" charset="0"/>
          </a:endParaRPr>
        </a:p>
      </xdr:txBody>
    </xdr:sp>
    <xdr:clientData/>
  </xdr:twoCellAnchor>
  <xdr:twoCellAnchor editAs="oneCell">
    <xdr:from>
      <xdr:col>4</xdr:col>
      <xdr:colOff>5023906</xdr:colOff>
      <xdr:row>0</xdr:row>
      <xdr:rowOff>901703</xdr:rowOff>
    </xdr:from>
    <xdr:to>
      <xdr:col>4</xdr:col>
      <xdr:colOff>6385981</xdr:colOff>
      <xdr:row>4</xdr:row>
      <xdr:rowOff>135513</xdr:rowOff>
    </xdr:to>
    <xdr:pic>
      <xdr:nvPicPr>
        <xdr:cNvPr id="5" name="Image 4">
          <a:hlinkClick xmlns:r="http://schemas.openxmlformats.org/officeDocument/2006/relationships" r:id="rId3"/>
          <a:extLst>
            <a:ext uri="{FF2B5EF4-FFF2-40B4-BE49-F238E27FC236}">
              <a16:creationId xmlns:a16="http://schemas.microsoft.com/office/drawing/2014/main" id="{72ABBA04-5884-4410-A434-DA2813E87DD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53573" y="901703"/>
          <a:ext cx="1362075" cy="673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95469</xdr:colOff>
      <xdr:row>0</xdr:row>
      <xdr:rowOff>214628</xdr:rowOff>
    </xdr:from>
    <xdr:to>
      <xdr:col>1</xdr:col>
      <xdr:colOff>905207</xdr:colOff>
      <xdr:row>0</xdr:row>
      <xdr:rowOff>850232</xdr:rowOff>
    </xdr:to>
    <xdr:pic>
      <xdr:nvPicPr>
        <xdr:cNvPr id="6" name="Image 5" descr="Une image contenant texte, clipart&#10;&#10;Description générée automatiquement">
          <a:extLst>
            <a:ext uri="{FF2B5EF4-FFF2-40B4-BE49-F238E27FC236}">
              <a16:creationId xmlns:a16="http://schemas.microsoft.com/office/drawing/2014/main" id="{8DCED66F-8393-1623-1E73-F225A1E9B0E0}"/>
            </a:ext>
          </a:extLst>
        </xdr:cNvPr>
        <xdr:cNvPicPr>
          <a:picLocks noChangeAspect="1"/>
        </xdr:cNvPicPr>
      </xdr:nvPicPr>
      <xdr:blipFill>
        <a:blip xmlns:r="http://schemas.openxmlformats.org/officeDocument/2006/relationships" r:embed="rId1"/>
        <a:stretch>
          <a:fillRect/>
        </a:stretch>
      </xdr:blipFill>
      <xdr:spPr>
        <a:xfrm>
          <a:off x="2398787" y="214628"/>
          <a:ext cx="2040580" cy="638779"/>
        </a:xfrm>
        <a:prstGeom prst="rect">
          <a:avLst/>
        </a:prstGeom>
      </xdr:spPr>
    </xdr:pic>
    <xdr:clientData/>
  </xdr:twoCellAnchor>
  <xdr:twoCellAnchor>
    <xdr:from>
      <xdr:col>1</xdr:col>
      <xdr:colOff>2224426</xdr:colOff>
      <xdr:row>0</xdr:row>
      <xdr:rowOff>70240</xdr:rowOff>
    </xdr:from>
    <xdr:to>
      <xdr:col>13</xdr:col>
      <xdr:colOff>266510</xdr:colOff>
      <xdr:row>0</xdr:row>
      <xdr:rowOff>853407</xdr:rowOff>
    </xdr:to>
    <xdr:sp macro="" textlink="">
      <xdr:nvSpPr>
        <xdr:cNvPr id="8" name="ZoneTexte 7">
          <a:extLst>
            <a:ext uri="{FF2B5EF4-FFF2-40B4-BE49-F238E27FC236}">
              <a16:creationId xmlns:a16="http://schemas.microsoft.com/office/drawing/2014/main" id="{9ECA9FDB-546F-1C8F-06E7-A55F49C54AC0}"/>
            </a:ext>
          </a:extLst>
        </xdr:cNvPr>
        <xdr:cNvSpPr txBox="1"/>
      </xdr:nvSpPr>
      <xdr:spPr>
        <a:xfrm>
          <a:off x="2224426" y="70240"/>
          <a:ext cx="12043834" cy="7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3200">
              <a:solidFill>
                <a:schemeClr val="bg1"/>
              </a:solidFill>
              <a:latin typeface="Arial Black" panose="020B0A04020102020204" pitchFamily="34" charset="0"/>
            </a:rPr>
            <a:t>Plan de développement des compétences</a:t>
          </a:r>
        </a:p>
      </xdr:txBody>
    </xdr:sp>
    <xdr:clientData/>
  </xdr:twoCellAnchor>
  <xdr:twoCellAnchor editAs="oneCell">
    <xdr:from>
      <xdr:col>13</xdr:col>
      <xdr:colOff>140841</xdr:colOff>
      <xdr:row>0</xdr:row>
      <xdr:rowOff>164349</xdr:rowOff>
    </xdr:from>
    <xdr:to>
      <xdr:col>14</xdr:col>
      <xdr:colOff>1249878</xdr:colOff>
      <xdr:row>0</xdr:row>
      <xdr:rowOff>933745</xdr:rowOff>
    </xdr:to>
    <xdr:pic>
      <xdr:nvPicPr>
        <xdr:cNvPr id="11" name="Image 10">
          <a:extLst>
            <a:ext uri="{FF2B5EF4-FFF2-40B4-BE49-F238E27FC236}">
              <a16:creationId xmlns:a16="http://schemas.microsoft.com/office/drawing/2014/main" id="{328D64AB-106C-E82D-4F25-990912E6530C}"/>
            </a:ext>
          </a:extLst>
        </xdr:cNvPr>
        <xdr:cNvPicPr>
          <a:picLocks noChangeAspect="1"/>
        </xdr:cNvPicPr>
      </xdr:nvPicPr>
      <xdr:blipFill>
        <a:blip xmlns:r="http://schemas.openxmlformats.org/officeDocument/2006/relationships" r:embed="rId2"/>
        <a:stretch>
          <a:fillRect/>
        </a:stretch>
      </xdr:blipFill>
      <xdr:spPr>
        <a:xfrm>
          <a:off x="16833404" y="164349"/>
          <a:ext cx="2415549" cy="769396"/>
        </a:xfrm>
        <a:prstGeom prst="rect">
          <a:avLst/>
        </a:prstGeom>
      </xdr:spPr>
    </xdr:pic>
    <xdr:clientData/>
  </xdr:twoCellAnchor>
  <xdr:twoCellAnchor editAs="oneCell">
    <xdr:from>
      <xdr:col>0</xdr:col>
      <xdr:colOff>933786</xdr:colOff>
      <xdr:row>3</xdr:row>
      <xdr:rowOff>104321</xdr:rowOff>
    </xdr:from>
    <xdr:to>
      <xdr:col>1</xdr:col>
      <xdr:colOff>1135938</xdr:colOff>
      <xdr:row>6</xdr:row>
      <xdr:rowOff>161982</xdr:rowOff>
    </xdr:to>
    <xdr:pic>
      <xdr:nvPicPr>
        <xdr:cNvPr id="2" name="Image 1">
          <a:hlinkClick xmlns:r="http://schemas.openxmlformats.org/officeDocument/2006/relationships" r:id="rId3"/>
          <a:extLst>
            <a:ext uri="{FF2B5EF4-FFF2-40B4-BE49-F238E27FC236}">
              <a16:creationId xmlns:a16="http://schemas.microsoft.com/office/drawing/2014/main" id="{81C2D783-A657-03CC-7C42-2405D9D4C51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3786" y="2115154"/>
          <a:ext cx="1432994" cy="703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1954160</xdr:colOff>
      <xdr:row>8</xdr:row>
      <xdr:rowOff>153786</xdr:rowOff>
    </xdr:from>
    <xdr:to>
      <xdr:col>1</xdr:col>
      <xdr:colOff>2134160</xdr:colOff>
      <xdr:row>9</xdr:row>
      <xdr:rowOff>142573</xdr:rowOff>
    </xdr:to>
    <xdr:pic>
      <xdr:nvPicPr>
        <xdr:cNvPr id="3" name="Image 2">
          <a:extLst>
            <a:ext uri="{FF2B5EF4-FFF2-40B4-BE49-F238E27FC236}">
              <a16:creationId xmlns:a16="http://schemas.microsoft.com/office/drawing/2014/main" id="{84C39EC1-BD88-78B3-B0FB-30CFB40EB2D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55493" y="3117119"/>
          <a:ext cx="180000" cy="176112"/>
        </a:xfrm>
        <a:prstGeom prst="rect">
          <a:avLst/>
        </a:prstGeom>
      </xdr:spPr>
    </xdr:pic>
    <xdr:clientData/>
  </xdr:twoCellAnchor>
  <xdr:twoCellAnchor editAs="oneCell">
    <xdr:from>
      <xdr:col>13</xdr:col>
      <xdr:colOff>1250155</xdr:colOff>
      <xdr:row>2</xdr:row>
      <xdr:rowOff>39687</xdr:rowOff>
    </xdr:from>
    <xdr:to>
      <xdr:col>16</xdr:col>
      <xdr:colOff>619575</xdr:colOff>
      <xdr:row>5</xdr:row>
      <xdr:rowOff>159543</xdr:rowOff>
    </xdr:to>
    <xdr:pic>
      <xdr:nvPicPr>
        <xdr:cNvPr id="5" name="Image 4">
          <a:hlinkClick xmlns:r="http://schemas.openxmlformats.org/officeDocument/2006/relationships" r:id="rId6"/>
          <a:extLst>
            <a:ext uri="{FF2B5EF4-FFF2-40B4-BE49-F238E27FC236}">
              <a16:creationId xmlns:a16="http://schemas.microsoft.com/office/drawing/2014/main" id="{16C5BA18-5A2F-4A1D-AB17-C2C2124278F3}"/>
            </a:ext>
          </a:extLst>
        </xdr:cNvPr>
        <xdr:cNvPicPr>
          <a:picLocks noChangeAspect="1"/>
        </xdr:cNvPicPr>
      </xdr:nvPicPr>
      <xdr:blipFill>
        <a:blip xmlns:r="http://schemas.openxmlformats.org/officeDocument/2006/relationships" r:embed="rId7"/>
        <a:stretch>
          <a:fillRect/>
        </a:stretch>
      </xdr:blipFill>
      <xdr:spPr>
        <a:xfrm>
          <a:off x="17942718" y="1861343"/>
          <a:ext cx="3069088" cy="730250"/>
        </a:xfrm>
        <a:prstGeom prst="rect">
          <a:avLst/>
        </a:prstGeom>
        <a:solidFill>
          <a:schemeClr val="accent2">
            <a:lumMod val="60000"/>
            <a:lumOff val="40000"/>
          </a:schemeClr>
        </a:solidFill>
      </xdr:spPr>
    </xdr:pic>
    <xdr:clientData/>
  </xdr:twoCellAnchor>
  <xdr:oneCellAnchor>
    <xdr:from>
      <xdr:col>0</xdr:col>
      <xdr:colOff>95469</xdr:colOff>
      <xdr:row>0</xdr:row>
      <xdr:rowOff>214628</xdr:rowOff>
    </xdr:from>
    <xdr:ext cx="2040580" cy="638779"/>
    <xdr:pic>
      <xdr:nvPicPr>
        <xdr:cNvPr id="4" name="Image 3" descr="Une image contenant texte, clipart&#10;&#10;Description générée automatiquement">
          <a:extLst>
            <a:ext uri="{FF2B5EF4-FFF2-40B4-BE49-F238E27FC236}">
              <a16:creationId xmlns:a16="http://schemas.microsoft.com/office/drawing/2014/main" id="{B01859D8-F89C-461C-B3D8-2514A7B967B5}"/>
            </a:ext>
          </a:extLst>
        </xdr:cNvPr>
        <xdr:cNvPicPr>
          <a:picLocks noChangeAspect="1"/>
        </xdr:cNvPicPr>
      </xdr:nvPicPr>
      <xdr:blipFill>
        <a:blip xmlns:r="http://schemas.openxmlformats.org/officeDocument/2006/relationships" r:embed="rId1"/>
        <a:stretch>
          <a:fillRect/>
        </a:stretch>
      </xdr:blipFill>
      <xdr:spPr>
        <a:xfrm>
          <a:off x="95469" y="214628"/>
          <a:ext cx="2040580" cy="638779"/>
        </a:xfrm>
        <a:prstGeom prst="rect">
          <a:avLst/>
        </a:prstGeom>
      </xdr:spPr>
    </xdr:pic>
    <xdr:clientData/>
  </xdr:oneCellAnchor>
  <xdr:oneCellAnchor>
    <xdr:from>
      <xdr:col>29</xdr:col>
      <xdr:colOff>642936</xdr:colOff>
      <xdr:row>0</xdr:row>
      <xdr:rowOff>416718</xdr:rowOff>
    </xdr:from>
    <xdr:ext cx="2040580" cy="638779"/>
    <xdr:pic>
      <xdr:nvPicPr>
        <xdr:cNvPr id="7" name="Image 6" descr="Une image contenant texte, clipart&#10;&#10;Description générée automatiquement">
          <a:hlinkClick xmlns:r="http://schemas.openxmlformats.org/officeDocument/2006/relationships" r:id="rId8"/>
          <a:extLst>
            <a:ext uri="{FF2B5EF4-FFF2-40B4-BE49-F238E27FC236}">
              <a16:creationId xmlns:a16="http://schemas.microsoft.com/office/drawing/2014/main" id="{DD2B947D-8DBC-4E67-B351-752840A1979F}"/>
            </a:ext>
          </a:extLst>
        </xdr:cNvPr>
        <xdr:cNvPicPr>
          <a:picLocks noChangeAspect="1"/>
        </xdr:cNvPicPr>
      </xdr:nvPicPr>
      <xdr:blipFill>
        <a:blip xmlns:r="http://schemas.openxmlformats.org/officeDocument/2006/relationships" r:embed="rId1"/>
        <a:stretch>
          <a:fillRect/>
        </a:stretch>
      </xdr:blipFill>
      <xdr:spPr>
        <a:xfrm>
          <a:off x="39385874" y="416718"/>
          <a:ext cx="2040580" cy="638779"/>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153996</xdr:rowOff>
    </xdr:from>
    <xdr:to>
      <xdr:col>2</xdr:col>
      <xdr:colOff>49855</xdr:colOff>
      <xdr:row>0</xdr:row>
      <xdr:rowOff>792775</xdr:rowOff>
    </xdr:to>
    <xdr:pic>
      <xdr:nvPicPr>
        <xdr:cNvPr id="2" name="Image 1" descr="Une image contenant texte, clipart&#10;&#10;Description générée automatiquement">
          <a:extLst>
            <a:ext uri="{FF2B5EF4-FFF2-40B4-BE49-F238E27FC236}">
              <a16:creationId xmlns:a16="http://schemas.microsoft.com/office/drawing/2014/main" id="{27550F14-6D3B-45BE-9CE8-3D62EADC2F8D}"/>
            </a:ext>
          </a:extLst>
        </xdr:cNvPr>
        <xdr:cNvPicPr>
          <a:picLocks noChangeAspect="1"/>
        </xdr:cNvPicPr>
      </xdr:nvPicPr>
      <xdr:blipFill>
        <a:blip xmlns:r="http://schemas.openxmlformats.org/officeDocument/2006/relationships" r:embed="rId1"/>
        <a:stretch>
          <a:fillRect/>
        </a:stretch>
      </xdr:blipFill>
      <xdr:spPr>
        <a:xfrm>
          <a:off x="104775" y="153996"/>
          <a:ext cx="2040580" cy="638779"/>
        </a:xfrm>
        <a:prstGeom prst="rect">
          <a:avLst/>
        </a:prstGeom>
      </xdr:spPr>
    </xdr:pic>
    <xdr:clientData/>
  </xdr:twoCellAnchor>
  <xdr:twoCellAnchor editAs="oneCell">
    <xdr:from>
      <xdr:col>5</xdr:col>
      <xdr:colOff>509707</xdr:colOff>
      <xdr:row>0</xdr:row>
      <xdr:rowOff>76283</xdr:rowOff>
    </xdr:from>
    <xdr:to>
      <xdr:col>5</xdr:col>
      <xdr:colOff>2926498</xdr:colOff>
      <xdr:row>0</xdr:row>
      <xdr:rowOff>845679</xdr:rowOff>
    </xdr:to>
    <xdr:pic>
      <xdr:nvPicPr>
        <xdr:cNvPr id="5" name="Image 4">
          <a:extLst>
            <a:ext uri="{FF2B5EF4-FFF2-40B4-BE49-F238E27FC236}">
              <a16:creationId xmlns:a16="http://schemas.microsoft.com/office/drawing/2014/main" id="{67047EBB-85FD-487B-8575-62FC29DE2E31}"/>
            </a:ext>
          </a:extLst>
        </xdr:cNvPr>
        <xdr:cNvPicPr>
          <a:picLocks noChangeAspect="1"/>
        </xdr:cNvPicPr>
      </xdr:nvPicPr>
      <xdr:blipFill>
        <a:blip xmlns:r="http://schemas.openxmlformats.org/officeDocument/2006/relationships" r:embed="rId2"/>
        <a:stretch>
          <a:fillRect/>
        </a:stretch>
      </xdr:blipFill>
      <xdr:spPr>
        <a:xfrm>
          <a:off x="12168307" y="76283"/>
          <a:ext cx="2416791" cy="769396"/>
        </a:xfrm>
        <a:prstGeom prst="rect">
          <a:avLst/>
        </a:prstGeom>
      </xdr:spPr>
    </xdr:pic>
    <xdr:clientData/>
  </xdr:twoCellAnchor>
  <xdr:twoCellAnchor>
    <xdr:from>
      <xdr:col>2</xdr:col>
      <xdr:colOff>800100</xdr:colOff>
      <xdr:row>0</xdr:row>
      <xdr:rowOff>85725</xdr:rowOff>
    </xdr:from>
    <xdr:to>
      <xdr:col>5</xdr:col>
      <xdr:colOff>2261659</xdr:colOff>
      <xdr:row>0</xdr:row>
      <xdr:rowOff>868892</xdr:rowOff>
    </xdr:to>
    <xdr:sp macro="" textlink="">
      <xdr:nvSpPr>
        <xdr:cNvPr id="6" name="ZoneTexte 5">
          <a:extLst>
            <a:ext uri="{FF2B5EF4-FFF2-40B4-BE49-F238E27FC236}">
              <a16:creationId xmlns:a16="http://schemas.microsoft.com/office/drawing/2014/main" id="{CDD6F7D2-AFF7-49DB-A0A6-567628189D14}"/>
            </a:ext>
          </a:extLst>
        </xdr:cNvPr>
        <xdr:cNvSpPr txBox="1"/>
      </xdr:nvSpPr>
      <xdr:spPr>
        <a:xfrm>
          <a:off x="2895600" y="85725"/>
          <a:ext cx="12043834" cy="7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3200">
              <a:solidFill>
                <a:schemeClr val="bg1"/>
              </a:solidFill>
              <a:latin typeface="Arial Black" panose="020B0A04020102020204" pitchFamily="34" charset="0"/>
            </a:rPr>
            <a:t>Plan de développement des compétences</a:t>
          </a:r>
        </a:p>
      </xdr:txBody>
    </xdr:sp>
    <xdr:clientData/>
  </xdr:twoCellAnchor>
  <xdr:twoCellAnchor editAs="oneCell">
    <xdr:from>
      <xdr:col>1</xdr:col>
      <xdr:colOff>1876424</xdr:colOff>
      <xdr:row>2</xdr:row>
      <xdr:rowOff>0</xdr:rowOff>
    </xdr:from>
    <xdr:to>
      <xdr:col>2</xdr:col>
      <xdr:colOff>1323974</xdr:colOff>
      <xdr:row>6</xdr:row>
      <xdr:rowOff>74126</xdr:rowOff>
    </xdr:to>
    <xdr:pic>
      <xdr:nvPicPr>
        <xdr:cNvPr id="3" name="Image 2">
          <a:hlinkClick xmlns:r="http://schemas.openxmlformats.org/officeDocument/2006/relationships" r:id="rId3"/>
          <a:extLst>
            <a:ext uri="{FF2B5EF4-FFF2-40B4-BE49-F238E27FC236}">
              <a16:creationId xmlns:a16="http://schemas.microsoft.com/office/drawing/2014/main" id="{8A1823BF-9BBD-4454-96D0-0F515575FB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57399" y="1085850"/>
          <a:ext cx="1362075" cy="683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kto.fr/plan-developpement-competences/" TargetMode="External"/><Relationship Id="rId2" Type="http://schemas.openxmlformats.org/officeDocument/2006/relationships/hyperlink" Target="https://www.akto.fr/mon-espace/" TargetMode="External"/><Relationship Id="rId1" Type="http://schemas.openxmlformats.org/officeDocument/2006/relationships/hyperlink" Target="https://www.akto.fr/financer-une-form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francecompetences.fr/recherche-resultat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akto.fr/mon-espac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rancecompetences.fr/recherche_certificationprofessionnelle/" TargetMode="External"/><Relationship Id="rId1" Type="http://schemas.openxmlformats.org/officeDocument/2006/relationships/hyperlink" Target="https://formacode.centre-inffo.fr/spip.php?page=thesauru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francecompetences.fr/recherche-resultats/" TargetMode="External"/><Relationship Id="rId2" Type="http://schemas.openxmlformats.org/officeDocument/2006/relationships/hyperlink" Target="https://www.akto.fr/mon-espace/" TargetMode="External"/><Relationship Id="rId1" Type="http://schemas.openxmlformats.org/officeDocument/2006/relationships/hyperlink" Target="https://formacode.centre-inffo.fr/spip.php?page=thesaurus"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EEC8-F762-499F-837A-DA64AF6FEBBF}">
  <sheetPr codeName="Feuil1">
    <tabColor rgb="FF1D4851"/>
  </sheetPr>
  <dimension ref="B2:I16"/>
  <sheetViews>
    <sheetView zoomScale="80" zoomScaleNormal="80" workbookViewId="0">
      <selection activeCell="E3" sqref="E3"/>
    </sheetView>
  </sheetViews>
  <sheetFormatPr baseColWidth="10" defaultColWidth="11.453125" defaultRowHeight="12"/>
  <cols>
    <col min="1" max="1" width="11.453125" style="3"/>
    <col min="2" max="2" width="228.453125" style="3" customWidth="1"/>
    <col min="3" max="4" width="11.453125" style="3"/>
    <col min="5" max="5" width="38.7265625" style="3" customWidth="1"/>
    <col min="6" max="16384" width="11.453125" style="3"/>
  </cols>
  <sheetData>
    <row r="2" spans="2:9" ht="125.25" customHeight="1"/>
    <row r="3" spans="2:9" ht="219.75" customHeight="1">
      <c r="B3" s="168" t="s">
        <v>270</v>
      </c>
    </row>
    <row r="4" spans="2:9" ht="20">
      <c r="B4" s="168"/>
    </row>
    <row r="5" spans="2:9" ht="119.25" customHeight="1">
      <c r="B5" s="167" t="s">
        <v>268</v>
      </c>
      <c r="C5" s="27"/>
      <c r="D5" s="27"/>
      <c r="E5" s="27"/>
      <c r="F5" s="27"/>
      <c r="G5" s="27"/>
      <c r="H5" s="27"/>
      <c r="I5" s="27"/>
    </row>
    <row r="6" spans="2:9">
      <c r="B6" s="4"/>
    </row>
    <row r="7" spans="2:9" ht="30" customHeight="1">
      <c r="B7" s="169" t="s">
        <v>269</v>
      </c>
    </row>
    <row r="9" spans="2:9">
      <c r="B9" s="5"/>
    </row>
    <row r="10" spans="2:9" ht="14.5">
      <c r="B10" s="6"/>
    </row>
    <row r="12" spans="2:9" ht="14.5">
      <c r="B12" s="6" t="s">
        <v>0</v>
      </c>
    </row>
    <row r="14" spans="2:9" ht="31">
      <c r="B14" s="126" t="s">
        <v>247</v>
      </c>
    </row>
    <row r="15" spans="2:9">
      <c r="B15" s="7"/>
    </row>
    <row r="16" spans="2:9">
      <c r="B16" s="7"/>
    </row>
  </sheetData>
  <sheetProtection selectLockedCells="1"/>
  <hyperlinks>
    <hyperlink ref="B12" r:id="rId1" xr:uid="{82203675-6301-4239-99E7-507B16D157F6}"/>
    <hyperlink ref="B14" r:id="rId2" display="https://www.akto.fr/mon-espace/" xr:uid="{FADE776A-48DB-4C39-812D-EB1D9FF319D1}"/>
    <hyperlink ref="B7" r:id="rId3" display="Plus aller plus loi, consulter les site Internet AKO" xr:uid="{FC79EA1F-8C72-4E54-B634-3480F975D8EB}"/>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F514-58EE-4660-AE0A-541AB3C683E5}">
  <sheetPr codeName="Feuil2">
    <tabColor rgb="FFC93857"/>
  </sheetPr>
  <dimension ref="A1:S31"/>
  <sheetViews>
    <sheetView showGridLines="0" showZeros="0" tabSelected="1" topLeftCell="A6" zoomScale="87" zoomScaleNormal="87" workbookViewId="0">
      <selection activeCell="D16" sqref="D16"/>
    </sheetView>
  </sheetViews>
  <sheetFormatPr baseColWidth="10" defaultColWidth="11.453125" defaultRowHeight="12"/>
  <cols>
    <col min="1" max="1" width="23.81640625" style="52" customWidth="1"/>
    <col min="2" max="2" width="19.26953125" style="52" customWidth="1"/>
    <col min="3" max="3" width="25.26953125" style="52" customWidth="1"/>
    <col min="4" max="4" width="22" style="52" customWidth="1"/>
    <col min="5" max="5" width="16.453125" style="52" customWidth="1"/>
    <col min="6" max="6" width="41.7265625" style="52" customWidth="1"/>
    <col min="7" max="7" width="11.453125" style="52" customWidth="1"/>
    <col min="8" max="8" width="10.54296875" style="52" customWidth="1"/>
    <col min="9" max="9" width="8.81640625" style="52" customWidth="1"/>
    <col min="10" max="10" width="11.7265625" style="52" customWidth="1"/>
    <col min="11" max="11" width="10.453125" style="52" customWidth="1"/>
    <col min="12" max="12" width="13.7265625" style="52" customWidth="1"/>
    <col min="13" max="13" width="18.26953125" style="52" customWidth="1"/>
    <col min="14" max="14" width="6.81640625" style="52" customWidth="1"/>
    <col min="15" max="15" width="15" style="52" customWidth="1"/>
    <col min="16" max="16" width="14.453125" style="52" customWidth="1"/>
    <col min="17" max="17" width="13.26953125" style="52" customWidth="1"/>
    <col min="18" max="18" width="12.7265625" style="52" customWidth="1"/>
    <col min="19" max="19" width="10.7265625" style="52" customWidth="1"/>
    <col min="20" max="16384" width="11.453125" style="52"/>
  </cols>
  <sheetData>
    <row r="1" spans="1:19" ht="90" customHeight="1">
      <c r="A1" s="50"/>
      <c r="B1" s="50"/>
      <c r="C1" s="50"/>
      <c r="D1" s="50"/>
      <c r="E1" s="51"/>
      <c r="F1" s="200"/>
      <c r="G1" s="200"/>
      <c r="H1" s="200"/>
      <c r="I1" s="200"/>
      <c r="J1" s="200"/>
      <c r="K1" s="200"/>
      <c r="L1" s="200"/>
      <c r="M1" s="200"/>
      <c r="N1" s="200"/>
      <c r="O1" s="200"/>
      <c r="P1" s="50"/>
      <c r="Q1" s="50"/>
      <c r="R1" s="50"/>
      <c r="S1" s="50"/>
    </row>
    <row r="2" spans="1:19" ht="17.25" customHeight="1">
      <c r="A2" s="50"/>
      <c r="B2" s="50"/>
      <c r="C2" s="196" t="s">
        <v>2</v>
      </c>
      <c r="D2" s="196"/>
      <c r="E2" s="196"/>
      <c r="F2" s="136"/>
      <c r="G2" s="196" t="s">
        <v>258</v>
      </c>
      <c r="H2" s="196"/>
      <c r="I2" s="196"/>
      <c r="J2" s="196"/>
      <c r="K2" s="136"/>
      <c r="L2" s="136"/>
      <c r="M2" s="136"/>
      <c r="N2" s="136"/>
      <c r="O2" s="136"/>
      <c r="P2" s="50"/>
      <c r="Q2" s="50"/>
      <c r="R2" s="50"/>
      <c r="S2" s="50"/>
    </row>
    <row r="3" spans="1:19" ht="24.75" customHeight="1">
      <c r="A3" s="50"/>
      <c r="B3" s="50"/>
      <c r="C3" s="207"/>
      <c r="D3" s="207"/>
      <c r="E3" s="207"/>
      <c r="F3" s="136"/>
      <c r="G3" s="207"/>
      <c r="H3" s="207"/>
      <c r="I3" s="207"/>
      <c r="J3" s="207"/>
      <c r="K3" s="50"/>
      <c r="L3" s="50"/>
      <c r="M3" s="50"/>
      <c r="N3" s="50"/>
      <c r="O3" s="50"/>
      <c r="P3" s="50"/>
      <c r="Q3" s="50"/>
      <c r="R3" s="50"/>
      <c r="S3" s="50"/>
    </row>
    <row r="4" spans="1:19" ht="15" customHeight="1">
      <c r="A4" s="50"/>
      <c r="B4" s="50"/>
      <c r="C4" s="196" t="s">
        <v>3</v>
      </c>
      <c r="D4" s="196"/>
      <c r="E4" s="196"/>
      <c r="F4" s="53"/>
      <c r="G4" s="196" t="s">
        <v>257</v>
      </c>
      <c r="H4" s="196"/>
      <c r="I4" s="196"/>
      <c r="J4" s="196"/>
      <c r="K4" s="50"/>
      <c r="L4" s="50"/>
      <c r="M4" s="50"/>
      <c r="N4" s="50"/>
      <c r="O4" s="50"/>
      <c r="P4" s="50"/>
      <c r="Q4" s="50"/>
      <c r="R4" s="50"/>
      <c r="S4" s="50"/>
    </row>
    <row r="5" spans="1:19" ht="24.75" customHeight="1">
      <c r="A5" s="50"/>
      <c r="B5" s="50"/>
      <c r="C5" s="214"/>
      <c r="D5" s="214"/>
      <c r="E5" s="214"/>
      <c r="F5" s="136"/>
      <c r="G5" s="208"/>
      <c r="H5" s="208"/>
      <c r="I5" s="208"/>
      <c r="J5" s="208"/>
      <c r="K5" s="50"/>
      <c r="L5" s="50"/>
      <c r="M5" s="50"/>
      <c r="N5" s="50"/>
      <c r="O5" s="50"/>
      <c r="P5" s="50"/>
      <c r="Q5" s="50"/>
      <c r="R5" s="50"/>
      <c r="S5" s="50"/>
    </row>
    <row r="6" spans="1:19" ht="15" customHeight="1">
      <c r="A6" s="50"/>
      <c r="B6" s="50"/>
      <c r="C6" s="196" t="s">
        <v>4</v>
      </c>
      <c r="D6" s="196"/>
      <c r="E6" s="196"/>
      <c r="F6" s="53"/>
      <c r="G6" s="196" t="s">
        <v>259</v>
      </c>
      <c r="H6" s="196"/>
      <c r="I6" s="196"/>
      <c r="J6" s="196"/>
      <c r="K6" s="50"/>
      <c r="L6" s="50"/>
      <c r="M6" s="50"/>
      <c r="N6" s="50"/>
      <c r="O6" s="50"/>
      <c r="P6" s="50"/>
      <c r="Q6" s="50"/>
      <c r="R6" s="50"/>
      <c r="S6" s="50"/>
    </row>
    <row r="7" spans="1:19" ht="26.25" customHeight="1">
      <c r="A7" s="50"/>
      <c r="B7" s="50"/>
      <c r="C7" s="213"/>
      <c r="D7" s="213"/>
      <c r="E7" s="213"/>
      <c r="F7" s="136"/>
      <c r="G7" s="209"/>
      <c r="H7" s="209"/>
      <c r="I7" s="209"/>
      <c r="J7" s="209"/>
      <c r="K7" s="136"/>
      <c r="L7" s="50"/>
      <c r="M7" s="50"/>
      <c r="N7" s="50"/>
      <c r="O7" s="50"/>
      <c r="P7" s="50"/>
      <c r="Q7" s="50"/>
      <c r="R7" s="50"/>
      <c r="S7" s="50"/>
    </row>
    <row r="8" spans="1:19" ht="15" customHeight="1">
      <c r="A8" s="50"/>
      <c r="B8" s="50"/>
      <c r="C8" s="50"/>
      <c r="D8" s="50"/>
      <c r="E8" s="50"/>
      <c r="F8" s="50"/>
      <c r="G8" s="50"/>
      <c r="H8" s="50"/>
      <c r="I8" s="50"/>
      <c r="J8" s="50"/>
      <c r="K8" s="50"/>
      <c r="L8" s="50"/>
      <c r="M8" s="50"/>
      <c r="N8" s="50"/>
      <c r="O8" s="50"/>
      <c r="P8" s="50"/>
      <c r="Q8" s="50"/>
      <c r="R8" s="50"/>
      <c r="S8" s="50"/>
    </row>
    <row r="9" spans="1:19" ht="18" customHeight="1" thickBot="1">
      <c r="A9" s="54"/>
      <c r="B9" s="54"/>
      <c r="C9" s="55" t="s">
        <v>271</v>
      </c>
      <c r="D9" s="54"/>
      <c r="E9" s="50"/>
      <c r="F9" s="50"/>
      <c r="G9" s="56"/>
      <c r="H9" s="57"/>
      <c r="I9" s="57"/>
      <c r="J9" s="57"/>
      <c r="K9" s="57"/>
      <c r="L9" s="57"/>
      <c r="M9" s="57"/>
      <c r="N9" s="57"/>
      <c r="O9" s="54"/>
      <c r="P9" s="54"/>
      <c r="Q9" s="54"/>
      <c r="R9" s="54"/>
      <c r="S9" s="54"/>
    </row>
    <row r="10" spans="1:19" s="154" customFormat="1" ht="48" customHeight="1">
      <c r="A10" s="210" t="s">
        <v>244</v>
      </c>
      <c r="B10" s="211"/>
      <c r="C10" s="212"/>
      <c r="D10" s="172" t="s">
        <v>245</v>
      </c>
      <c r="E10" s="201" t="s">
        <v>5</v>
      </c>
      <c r="F10" s="202"/>
      <c r="G10" s="202"/>
      <c r="H10" s="202"/>
      <c r="I10" s="202"/>
      <c r="J10" s="202"/>
      <c r="K10" s="202"/>
      <c r="L10" s="203"/>
      <c r="M10" s="204" t="s">
        <v>6</v>
      </c>
      <c r="N10" s="205"/>
      <c r="O10" s="206"/>
      <c r="P10" s="197" t="s">
        <v>267</v>
      </c>
      <c r="Q10" s="198"/>
      <c r="R10" s="198"/>
      <c r="S10" s="199"/>
    </row>
    <row r="11" spans="1:19" s="68" customFormat="1" ht="59.25" customHeight="1" thickBot="1">
      <c r="A11" s="58" t="s">
        <v>232</v>
      </c>
      <c r="B11" s="59" t="s">
        <v>23</v>
      </c>
      <c r="C11" s="60" t="s">
        <v>262</v>
      </c>
      <c r="D11" s="61" t="s">
        <v>238</v>
      </c>
      <c r="E11" s="62" t="s">
        <v>178</v>
      </c>
      <c r="F11" s="63" t="s">
        <v>179</v>
      </c>
      <c r="G11" s="63" t="s">
        <v>180</v>
      </c>
      <c r="H11" s="63" t="s">
        <v>181</v>
      </c>
      <c r="I11" s="64" t="s">
        <v>182</v>
      </c>
      <c r="J11" s="64" t="s">
        <v>266</v>
      </c>
      <c r="K11" s="64" t="s">
        <v>183</v>
      </c>
      <c r="L11" s="64" t="s">
        <v>263</v>
      </c>
      <c r="M11" s="65" t="s">
        <v>184</v>
      </c>
      <c r="N11" s="66" t="s">
        <v>21</v>
      </c>
      <c r="O11" s="67" t="s">
        <v>185</v>
      </c>
      <c r="P11" s="134" t="s">
        <v>278</v>
      </c>
      <c r="Q11" s="137" t="s">
        <v>260</v>
      </c>
      <c r="R11" s="137" t="s">
        <v>261</v>
      </c>
      <c r="S11" s="138" t="s">
        <v>275</v>
      </c>
    </row>
    <row r="12" spans="1:19" s="139" customFormat="1" ht="15" customHeight="1">
      <c r="A12" s="155" t="s">
        <v>206</v>
      </c>
      <c r="B12" s="156" t="s">
        <v>75</v>
      </c>
      <c r="C12" s="157" t="s">
        <v>172</v>
      </c>
      <c r="D12" s="158">
        <v>20</v>
      </c>
      <c r="E12" s="159" t="s">
        <v>175</v>
      </c>
      <c r="F12" s="160" t="s">
        <v>274</v>
      </c>
      <c r="G12" s="161" t="s">
        <v>30</v>
      </c>
      <c r="H12" s="161" t="s">
        <v>31</v>
      </c>
      <c r="I12" s="162" t="s">
        <v>32</v>
      </c>
      <c r="J12" s="161" t="s">
        <v>166</v>
      </c>
      <c r="K12" s="161" t="s">
        <v>171</v>
      </c>
      <c r="L12" s="157">
        <v>34306</v>
      </c>
      <c r="M12" s="159" t="s">
        <v>36</v>
      </c>
      <c r="N12" s="161" t="s">
        <v>41</v>
      </c>
      <c r="O12" s="163" t="s">
        <v>174</v>
      </c>
      <c r="P12" s="164">
        <v>100</v>
      </c>
      <c r="Q12" s="165">
        <v>20</v>
      </c>
      <c r="R12" s="165">
        <v>30</v>
      </c>
      <c r="S12" s="166">
        <f>SUM(P12:R12)</f>
        <v>150</v>
      </c>
    </row>
    <row r="13" spans="1:19" s="69" customFormat="1" ht="15" customHeight="1">
      <c r="A13" s="171"/>
      <c r="B13" s="127"/>
      <c r="C13" s="128"/>
      <c r="D13" s="129"/>
      <c r="E13" s="46"/>
      <c r="F13" s="32"/>
      <c r="G13" s="33"/>
      <c r="H13" s="33"/>
      <c r="I13" s="34"/>
      <c r="J13" s="35"/>
      <c r="K13" s="35"/>
      <c r="L13" s="47"/>
      <c r="M13" s="46"/>
      <c r="N13" s="35"/>
      <c r="O13" s="48"/>
      <c r="P13" s="49"/>
      <c r="Q13" s="31"/>
      <c r="R13" s="31"/>
      <c r="S13" s="130">
        <f>SUM(P13:R13)</f>
        <v>0</v>
      </c>
    </row>
    <row r="14" spans="1:19" s="69" customFormat="1" ht="15" customHeight="1">
      <c r="A14" s="171"/>
      <c r="B14" s="127"/>
      <c r="C14" s="128"/>
      <c r="D14" s="129"/>
      <c r="E14" s="46"/>
      <c r="F14" s="32"/>
      <c r="G14" s="33"/>
      <c r="H14" s="33"/>
      <c r="I14" s="34"/>
      <c r="J14" s="35"/>
      <c r="K14" s="35"/>
      <c r="L14" s="47"/>
      <c r="M14" s="46"/>
      <c r="N14" s="35"/>
      <c r="O14" s="48"/>
      <c r="P14" s="49"/>
      <c r="Q14" s="31"/>
      <c r="R14" s="31"/>
      <c r="S14" s="130">
        <f t="shared" ref="S14:S23" si="0">SUM(P14:R14)</f>
        <v>0</v>
      </c>
    </row>
    <row r="15" spans="1:19" s="69" customFormat="1" ht="15" customHeight="1">
      <c r="A15" s="171"/>
      <c r="B15" s="127"/>
      <c r="C15" s="128"/>
      <c r="D15" s="129"/>
      <c r="E15" s="46"/>
      <c r="F15" s="32"/>
      <c r="G15" s="33"/>
      <c r="H15" s="33"/>
      <c r="I15" s="34"/>
      <c r="J15" s="35"/>
      <c r="K15" s="35"/>
      <c r="L15" s="47"/>
      <c r="M15" s="46"/>
      <c r="N15" s="35"/>
      <c r="O15" s="48"/>
      <c r="P15" s="49"/>
      <c r="Q15" s="31"/>
      <c r="R15" s="31"/>
      <c r="S15" s="130">
        <f t="shared" si="0"/>
        <v>0</v>
      </c>
    </row>
    <row r="16" spans="1:19" s="69" customFormat="1" ht="15" customHeight="1">
      <c r="A16" s="171"/>
      <c r="B16" s="127"/>
      <c r="C16" s="128"/>
      <c r="D16" s="129"/>
      <c r="E16" s="46"/>
      <c r="F16" s="32"/>
      <c r="G16" s="33"/>
      <c r="H16" s="33"/>
      <c r="I16" s="34"/>
      <c r="J16" s="35"/>
      <c r="K16" s="35"/>
      <c r="L16" s="47"/>
      <c r="M16" s="46"/>
      <c r="N16" s="35"/>
      <c r="O16" s="48"/>
      <c r="P16" s="49"/>
      <c r="Q16" s="31"/>
      <c r="R16" s="31"/>
      <c r="S16" s="130">
        <f t="shared" si="0"/>
        <v>0</v>
      </c>
    </row>
    <row r="17" spans="1:19" s="69" customFormat="1" ht="15" customHeight="1">
      <c r="A17" s="171"/>
      <c r="B17" s="127"/>
      <c r="C17" s="128"/>
      <c r="D17" s="129"/>
      <c r="E17" s="46"/>
      <c r="F17" s="32"/>
      <c r="G17" s="33"/>
      <c r="H17" s="33"/>
      <c r="I17" s="34"/>
      <c r="J17" s="35"/>
      <c r="K17" s="35"/>
      <c r="L17" s="47"/>
      <c r="M17" s="46"/>
      <c r="N17" s="35"/>
      <c r="O17" s="48"/>
      <c r="P17" s="49"/>
      <c r="Q17" s="31"/>
      <c r="R17" s="31"/>
      <c r="S17" s="130">
        <f t="shared" si="0"/>
        <v>0</v>
      </c>
    </row>
    <row r="18" spans="1:19" s="69" customFormat="1" ht="15" customHeight="1">
      <c r="A18" s="171"/>
      <c r="B18" s="127"/>
      <c r="C18" s="128"/>
      <c r="D18" s="129"/>
      <c r="E18" s="46"/>
      <c r="F18" s="32"/>
      <c r="G18" s="33"/>
      <c r="H18" s="33"/>
      <c r="I18" s="34"/>
      <c r="J18" s="35"/>
      <c r="K18" s="35"/>
      <c r="L18" s="47"/>
      <c r="M18" s="46"/>
      <c r="N18" s="35"/>
      <c r="O18" s="48"/>
      <c r="P18" s="49"/>
      <c r="Q18" s="31"/>
      <c r="R18" s="31"/>
      <c r="S18" s="130">
        <f t="shared" si="0"/>
        <v>0</v>
      </c>
    </row>
    <row r="19" spans="1:19" s="69" customFormat="1" ht="15" customHeight="1">
      <c r="A19" s="171"/>
      <c r="B19" s="127"/>
      <c r="C19" s="128"/>
      <c r="D19" s="129"/>
      <c r="E19" s="46"/>
      <c r="F19" s="32"/>
      <c r="G19" s="33"/>
      <c r="H19" s="33"/>
      <c r="I19" s="34"/>
      <c r="J19" s="35"/>
      <c r="K19" s="35"/>
      <c r="L19" s="47"/>
      <c r="M19" s="46"/>
      <c r="N19" s="35"/>
      <c r="O19" s="48"/>
      <c r="P19" s="49"/>
      <c r="Q19" s="31"/>
      <c r="R19" s="31"/>
      <c r="S19" s="130">
        <f t="shared" si="0"/>
        <v>0</v>
      </c>
    </row>
    <row r="20" spans="1:19" s="69" customFormat="1" ht="15" customHeight="1">
      <c r="A20" s="171"/>
      <c r="B20" s="127"/>
      <c r="C20" s="128"/>
      <c r="D20" s="129"/>
      <c r="E20" s="46"/>
      <c r="F20" s="32"/>
      <c r="G20" s="33"/>
      <c r="H20" s="33"/>
      <c r="I20" s="34"/>
      <c r="J20" s="35"/>
      <c r="K20" s="35"/>
      <c r="L20" s="47"/>
      <c r="M20" s="46"/>
      <c r="N20" s="35"/>
      <c r="O20" s="48"/>
      <c r="P20" s="49"/>
      <c r="Q20" s="31"/>
      <c r="R20" s="31"/>
      <c r="S20" s="130">
        <f t="shared" si="0"/>
        <v>0</v>
      </c>
    </row>
    <row r="21" spans="1:19" s="69" customFormat="1" ht="15" customHeight="1">
      <c r="A21" s="171"/>
      <c r="B21" s="127"/>
      <c r="C21" s="128"/>
      <c r="D21" s="129"/>
      <c r="E21" s="46"/>
      <c r="F21" s="32"/>
      <c r="G21" s="33"/>
      <c r="H21" s="33"/>
      <c r="I21" s="34"/>
      <c r="J21" s="35"/>
      <c r="K21" s="35"/>
      <c r="L21" s="47"/>
      <c r="M21" s="46"/>
      <c r="N21" s="35"/>
      <c r="O21" s="48"/>
      <c r="P21" s="49"/>
      <c r="Q21" s="31"/>
      <c r="R21" s="31"/>
      <c r="S21" s="130">
        <f t="shared" si="0"/>
        <v>0</v>
      </c>
    </row>
    <row r="22" spans="1:19" s="69" customFormat="1" ht="15" customHeight="1">
      <c r="A22" s="171"/>
      <c r="B22" s="127"/>
      <c r="C22" s="128"/>
      <c r="D22" s="129"/>
      <c r="E22" s="46"/>
      <c r="F22" s="32"/>
      <c r="G22" s="33"/>
      <c r="H22" s="33"/>
      <c r="I22" s="34"/>
      <c r="J22" s="35"/>
      <c r="K22" s="35"/>
      <c r="L22" s="47"/>
      <c r="M22" s="46"/>
      <c r="N22" s="35"/>
      <c r="O22" s="48"/>
      <c r="P22" s="49"/>
      <c r="Q22" s="31"/>
      <c r="R22" s="31"/>
      <c r="S22" s="130">
        <f t="shared" si="0"/>
        <v>0</v>
      </c>
    </row>
    <row r="23" spans="1:19" s="69" customFormat="1" ht="15" customHeight="1">
      <c r="A23" s="171"/>
      <c r="B23" s="127"/>
      <c r="C23" s="128"/>
      <c r="D23" s="129"/>
      <c r="E23" s="46"/>
      <c r="F23" s="32"/>
      <c r="G23" s="33"/>
      <c r="H23" s="33"/>
      <c r="I23" s="34"/>
      <c r="J23" s="35"/>
      <c r="K23" s="35"/>
      <c r="L23" s="47"/>
      <c r="M23" s="46"/>
      <c r="N23" s="35"/>
      <c r="O23" s="48"/>
      <c r="P23" s="49"/>
      <c r="Q23" s="31"/>
      <c r="R23" s="31"/>
      <c r="S23" s="130">
        <f t="shared" si="0"/>
        <v>0</v>
      </c>
    </row>
    <row r="24" spans="1:19" s="69" customFormat="1" ht="15" customHeight="1">
      <c r="A24" s="171"/>
      <c r="B24" s="127"/>
      <c r="C24" s="128"/>
      <c r="D24" s="129"/>
      <c r="E24" s="46"/>
      <c r="F24" s="32"/>
      <c r="G24" s="33"/>
      <c r="H24" s="33"/>
      <c r="I24" s="34"/>
      <c r="J24" s="35"/>
      <c r="K24" s="35"/>
      <c r="L24" s="47"/>
      <c r="M24" s="46"/>
      <c r="N24" s="35"/>
      <c r="O24" s="48"/>
      <c r="P24" s="49"/>
      <c r="Q24" s="31"/>
      <c r="R24" s="31"/>
      <c r="S24" s="130">
        <f t="shared" ref="S24:S29" si="1">SUM(P24:R24)</f>
        <v>0</v>
      </c>
    </row>
    <row r="25" spans="1:19" s="69" customFormat="1" ht="15" customHeight="1">
      <c r="A25" s="171"/>
      <c r="B25" s="127"/>
      <c r="C25" s="128"/>
      <c r="D25" s="129"/>
      <c r="E25" s="46"/>
      <c r="F25" s="32"/>
      <c r="G25" s="33"/>
      <c r="H25" s="33"/>
      <c r="I25" s="34"/>
      <c r="J25" s="35"/>
      <c r="K25" s="35"/>
      <c r="L25" s="47"/>
      <c r="M25" s="46"/>
      <c r="N25" s="35"/>
      <c r="O25" s="48"/>
      <c r="P25" s="49"/>
      <c r="Q25" s="31"/>
      <c r="R25" s="31"/>
      <c r="S25" s="130">
        <f t="shared" si="1"/>
        <v>0</v>
      </c>
    </row>
    <row r="26" spans="1:19" s="69" customFormat="1" ht="15" customHeight="1">
      <c r="A26" s="171"/>
      <c r="B26" s="127"/>
      <c r="C26" s="128"/>
      <c r="D26" s="129"/>
      <c r="E26" s="46"/>
      <c r="F26" s="32"/>
      <c r="G26" s="33"/>
      <c r="H26" s="33"/>
      <c r="I26" s="34"/>
      <c r="J26" s="35"/>
      <c r="K26" s="35"/>
      <c r="L26" s="47"/>
      <c r="M26" s="46"/>
      <c r="N26" s="35"/>
      <c r="O26" s="48"/>
      <c r="P26" s="49"/>
      <c r="Q26" s="31"/>
      <c r="R26" s="31"/>
      <c r="S26" s="130">
        <f t="shared" si="1"/>
        <v>0</v>
      </c>
    </row>
    <row r="27" spans="1:19" s="69" customFormat="1" ht="15" customHeight="1">
      <c r="A27" s="171"/>
      <c r="B27" s="127"/>
      <c r="C27" s="128"/>
      <c r="D27" s="129"/>
      <c r="E27" s="46"/>
      <c r="F27" s="32"/>
      <c r="G27" s="33"/>
      <c r="H27" s="33"/>
      <c r="I27" s="34"/>
      <c r="J27" s="35"/>
      <c r="K27" s="35"/>
      <c r="L27" s="47"/>
      <c r="M27" s="46"/>
      <c r="N27" s="35"/>
      <c r="O27" s="48"/>
      <c r="P27" s="49"/>
      <c r="Q27" s="31"/>
      <c r="R27" s="31"/>
      <c r="S27" s="130">
        <f t="shared" si="1"/>
        <v>0</v>
      </c>
    </row>
    <row r="28" spans="1:19" s="69" customFormat="1" ht="15" customHeight="1">
      <c r="A28" s="171"/>
      <c r="B28" s="127"/>
      <c r="C28" s="128"/>
      <c r="D28" s="129"/>
      <c r="E28" s="46"/>
      <c r="F28" s="32"/>
      <c r="G28" s="33"/>
      <c r="H28" s="33"/>
      <c r="I28" s="34"/>
      <c r="J28" s="35"/>
      <c r="K28" s="35"/>
      <c r="L28" s="47"/>
      <c r="M28" s="46"/>
      <c r="N28" s="35"/>
      <c r="O28" s="48"/>
      <c r="P28" s="49"/>
      <c r="Q28" s="31"/>
      <c r="R28" s="31"/>
      <c r="S28" s="130">
        <f t="shared" si="1"/>
        <v>0</v>
      </c>
    </row>
    <row r="29" spans="1:19" s="69" customFormat="1" ht="15" customHeight="1">
      <c r="A29" s="171"/>
      <c r="B29" s="127"/>
      <c r="C29" s="128"/>
      <c r="D29" s="129"/>
      <c r="E29" s="46"/>
      <c r="F29" s="32"/>
      <c r="G29" s="33"/>
      <c r="H29" s="33"/>
      <c r="I29" s="34"/>
      <c r="J29" s="35"/>
      <c r="K29" s="35"/>
      <c r="L29" s="47"/>
      <c r="M29" s="46"/>
      <c r="N29" s="35"/>
      <c r="O29" s="48"/>
      <c r="P29" s="49"/>
      <c r="Q29" s="31"/>
      <c r="R29" s="31"/>
      <c r="S29" s="130">
        <f t="shared" si="1"/>
        <v>0</v>
      </c>
    </row>
    <row r="30" spans="1:19" s="69" customFormat="1" ht="15" customHeight="1" thickBot="1">
      <c r="A30" s="70"/>
      <c r="B30" s="70"/>
      <c r="C30" s="70"/>
      <c r="D30" s="70"/>
      <c r="E30" s="71"/>
      <c r="F30" s="72"/>
      <c r="G30" s="73"/>
      <c r="H30" s="73"/>
      <c r="I30" s="74"/>
      <c r="J30" s="75"/>
      <c r="K30" s="75"/>
      <c r="L30" s="75"/>
      <c r="M30" s="71"/>
      <c r="N30" s="75"/>
      <c r="O30" s="71"/>
      <c r="P30" s="71"/>
      <c r="Q30" s="70"/>
      <c r="R30" s="70"/>
      <c r="S30" s="76"/>
    </row>
    <row r="31" spans="1:19" ht="20.25" customHeight="1" thickBot="1">
      <c r="O31" s="77" t="s">
        <v>276</v>
      </c>
      <c r="P31" s="194">
        <f>SUM(P12:P23)</f>
        <v>100</v>
      </c>
      <c r="Q31" s="194">
        <f>SUM(Q12:Q23)</f>
        <v>20</v>
      </c>
      <c r="R31" s="194">
        <f>SUM(R12:R23)</f>
        <v>30</v>
      </c>
      <c r="S31" s="195">
        <f>SUM(P31:R31)</f>
        <v>150</v>
      </c>
    </row>
  </sheetData>
  <sheetProtection insertColumns="0" insertRows="0" deleteColumns="0" deleteRows="0" sort="0" autoFilter="0"/>
  <mergeCells count="17">
    <mergeCell ref="A10:C10"/>
    <mergeCell ref="C7:E7"/>
    <mergeCell ref="C3:E3"/>
    <mergeCell ref="C5:E5"/>
    <mergeCell ref="C2:E2"/>
    <mergeCell ref="C4:E4"/>
    <mergeCell ref="C6:E6"/>
    <mergeCell ref="G6:J6"/>
    <mergeCell ref="P10:S10"/>
    <mergeCell ref="F1:O1"/>
    <mergeCell ref="E10:L10"/>
    <mergeCell ref="M10:O10"/>
    <mergeCell ref="G3:J3"/>
    <mergeCell ref="G5:J5"/>
    <mergeCell ref="G7:J7"/>
    <mergeCell ref="G2:J2"/>
    <mergeCell ref="G4:J4"/>
  </mergeCells>
  <phoneticPr fontId="49" type="noConversion"/>
  <dataValidations count="3">
    <dataValidation type="list" allowBlank="1" showInputMessage="1" showErrorMessage="1" sqref="C12:C29" xr:uid="{C3BF54AF-7BEC-4CB0-AB55-D4A626F4849A}">
      <formula1>"Oui,Non"</formula1>
    </dataValidation>
    <dataValidation type="list" allowBlank="1" showInputMessage="1" showErrorMessage="1" sqref="P30" xr:uid="{508C09EA-7238-491E-AC59-544FB922FDFC}">
      <formula1>#REF!</formula1>
    </dataValidation>
    <dataValidation type="date" errorStyle="warning" operator="greaterThan" allowBlank="1" showInputMessage="1" showErrorMessage="1" errorTitle="Attention !!!  " error="Attention !!!  La date de fin est avant la date de début" sqref="H13:H29" xr:uid="{73C216E8-727F-4197-9768-2AC0E4293F41}">
      <formula1>G13</formula1>
    </dataValidation>
  </dataValidations>
  <hyperlinks>
    <hyperlink ref="L11" r:id="rId1" display="Code RNCP   (Si concerné)" xr:uid="{FD8F5FF4-5E4D-4DD7-AE84-EAF4E939BD88}"/>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5">
        <x14:dataValidation type="list" allowBlank="1" showInputMessage="1" showErrorMessage="1" xr:uid="{6C35EA17-9716-4093-8E83-68106D2A54AF}">
          <x14:formula1>
            <xm:f>Feuil1!$A$2:$A$24</xm:f>
          </x14:formula1>
          <xm:sqref>C7</xm:sqref>
        </x14:dataValidation>
        <x14:dataValidation type="list" allowBlank="1" showInputMessage="1" showErrorMessage="1" xr:uid="{F7695DEF-2C44-4215-801A-53BE3CC452BB}">
          <x14:formula1>
            <xm:f>Feuil1!$B$2:$B$3</xm:f>
          </x14:formula1>
          <xm:sqref>J12:J29</xm:sqref>
        </x14:dataValidation>
        <x14:dataValidation type="list" allowBlank="1" showInputMessage="1" showErrorMessage="1" xr:uid="{A54A8A3E-812D-4052-9915-AC108B367CE8}">
          <x14:formula1>
            <xm:f>Feuil1!$E$2:$E$4</xm:f>
          </x14:formula1>
          <xm:sqref>K12:K29</xm:sqref>
        </x14:dataValidation>
        <x14:dataValidation type="list" allowBlank="1" showInputMessage="1" showErrorMessage="1" xr:uid="{6B9D3065-325D-49E0-B5C5-4E57BE12D859}">
          <x14:formula1>
            <xm:f>Feuil1!$G$3:$G$11</xm:f>
          </x14:formula1>
          <xm:sqref>A12:A29</xm:sqref>
        </x14:dataValidation>
        <x14:dataValidation type="list" allowBlank="1" showInputMessage="1" showErrorMessage="1" xr:uid="{811A91C9-02E5-4671-8504-7F2B8127596E}">
          <x14:formula1>
            <xm:f>Feuil1!$C$2:$C$13</xm:f>
          </x14:formula1>
          <xm:sqref>B12:B29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9FE8-0B51-4158-8031-8E75D49E1A8B}">
  <sheetPr codeName="Feuil3">
    <tabColor rgb="FF49F0B1"/>
  </sheetPr>
  <dimension ref="A1:E25"/>
  <sheetViews>
    <sheetView topLeftCell="A7" zoomScale="90" zoomScaleNormal="90" workbookViewId="0">
      <selection activeCell="B25" sqref="B25"/>
    </sheetView>
  </sheetViews>
  <sheetFormatPr baseColWidth="10" defaultColWidth="11.453125" defaultRowHeight="12"/>
  <cols>
    <col min="1" max="1" width="2.7265625" style="3" customWidth="1"/>
    <col min="2" max="2" width="28.7265625" style="14" customWidth="1"/>
    <col min="3" max="3" width="36.81640625" style="3" customWidth="1"/>
    <col min="4" max="4" width="2.81640625" style="3" customWidth="1"/>
    <col min="5" max="5" width="149.7265625" style="3" customWidth="1"/>
    <col min="6" max="16384" width="11.453125" style="3"/>
  </cols>
  <sheetData>
    <row r="1" spans="1:5" ht="73.5" customHeight="1">
      <c r="A1" s="218"/>
      <c r="B1" s="218"/>
      <c r="C1" s="218"/>
      <c r="D1" s="218"/>
      <c r="E1" s="218"/>
    </row>
    <row r="2" spans="1:5" ht="14.5">
      <c r="A2" s="13"/>
      <c r="D2" s="220"/>
      <c r="E2" s="220"/>
    </row>
    <row r="3" spans="1:5">
      <c r="A3" s="218"/>
      <c r="B3" s="218"/>
      <c r="C3" s="218"/>
      <c r="D3" s="218"/>
      <c r="E3" s="218"/>
    </row>
    <row r="4" spans="1:5" ht="14.5">
      <c r="A4" s="28"/>
      <c r="B4" s="28"/>
      <c r="C4" s="28"/>
      <c r="D4" s="220" t="s">
        <v>168</v>
      </c>
      <c r="E4" s="220"/>
    </row>
    <row r="5" spans="1:5">
      <c r="A5" s="28"/>
      <c r="B5" s="28"/>
      <c r="C5" s="28"/>
      <c r="D5" s="28"/>
      <c r="E5" s="28"/>
    </row>
    <row r="6" spans="1:5" ht="12.5" thickBot="1">
      <c r="A6" s="28"/>
      <c r="B6" s="28"/>
      <c r="C6" s="28"/>
      <c r="D6" s="28"/>
      <c r="E6" s="28"/>
    </row>
    <row r="7" spans="1:5" ht="27.75" customHeight="1">
      <c r="A7" s="219"/>
      <c r="B7" s="224" t="s">
        <v>237</v>
      </c>
      <c r="C7" s="173" t="s">
        <v>240</v>
      </c>
      <c r="D7" s="174"/>
      <c r="E7" s="175" t="s">
        <v>243</v>
      </c>
    </row>
    <row r="8" spans="1:5" ht="27.75" customHeight="1">
      <c r="A8" s="219"/>
      <c r="B8" s="225"/>
      <c r="C8" s="78" t="s">
        <v>23</v>
      </c>
      <c r="D8" s="79"/>
      <c r="E8" s="176" t="s">
        <v>64</v>
      </c>
    </row>
    <row r="9" spans="1:5" ht="27.75" customHeight="1" thickBot="1">
      <c r="A9" s="219"/>
      <c r="B9" s="226"/>
      <c r="C9" s="177" t="s">
        <v>241</v>
      </c>
      <c r="D9" s="178"/>
      <c r="E9" s="179" t="s">
        <v>242</v>
      </c>
    </row>
    <row r="10" spans="1:5" ht="56.25" customHeight="1" thickBot="1">
      <c r="A10" s="219"/>
      <c r="B10" s="180" t="s">
        <v>231</v>
      </c>
      <c r="C10" s="181" t="s">
        <v>239</v>
      </c>
      <c r="D10" s="182"/>
      <c r="E10" s="183" t="s">
        <v>252</v>
      </c>
    </row>
    <row r="11" spans="1:5" ht="21" customHeight="1">
      <c r="A11" s="219"/>
      <c r="B11" s="227" t="s">
        <v>5</v>
      </c>
      <c r="C11" s="230" t="s">
        <v>178</v>
      </c>
      <c r="D11" s="231"/>
      <c r="E11" s="184" t="s">
        <v>246</v>
      </c>
    </row>
    <row r="12" spans="1:5" ht="21" customHeight="1">
      <c r="A12" s="219"/>
      <c r="B12" s="228"/>
      <c r="C12" s="232" t="s">
        <v>8</v>
      </c>
      <c r="D12" s="233"/>
      <c r="E12" s="185" t="s">
        <v>47</v>
      </c>
    </row>
    <row r="13" spans="1:5" ht="21" customHeight="1">
      <c r="A13" s="219"/>
      <c r="B13" s="228"/>
      <c r="C13" s="232" t="s">
        <v>9</v>
      </c>
      <c r="D13" s="233"/>
      <c r="E13" s="185" t="s">
        <v>48</v>
      </c>
    </row>
    <row r="14" spans="1:5" ht="20.25" customHeight="1">
      <c r="A14" s="219"/>
      <c r="B14" s="228"/>
      <c r="C14" s="232" t="s">
        <v>10</v>
      </c>
      <c r="D14" s="233"/>
      <c r="E14" s="185" t="s">
        <v>49</v>
      </c>
    </row>
    <row r="15" spans="1:5" ht="20.25" customHeight="1">
      <c r="A15" s="219"/>
      <c r="B15" s="228"/>
      <c r="C15" s="232" t="s">
        <v>11</v>
      </c>
      <c r="D15" s="233"/>
      <c r="E15" s="185" t="s">
        <v>50</v>
      </c>
    </row>
    <row r="16" spans="1:5" ht="33.75" customHeight="1">
      <c r="A16" s="219"/>
      <c r="B16" s="228"/>
      <c r="C16" s="232" t="s">
        <v>12</v>
      </c>
      <c r="D16" s="233"/>
      <c r="E16" s="185" t="s">
        <v>253</v>
      </c>
    </row>
    <row r="17" spans="1:5" ht="48.75" customHeight="1" thickBot="1">
      <c r="A17" s="219"/>
      <c r="B17" s="229"/>
      <c r="C17" s="234" t="s">
        <v>15</v>
      </c>
      <c r="D17" s="235"/>
      <c r="E17" s="186" t="s">
        <v>272</v>
      </c>
    </row>
    <row r="18" spans="1:5" ht="20.25" customHeight="1">
      <c r="A18" s="219"/>
      <c r="B18" s="221" t="s">
        <v>6</v>
      </c>
      <c r="C18" s="236" t="s">
        <v>16</v>
      </c>
      <c r="D18" s="237"/>
      <c r="E18" s="187" t="s">
        <v>57</v>
      </c>
    </row>
    <row r="19" spans="1:5" ht="20.25" customHeight="1">
      <c r="A19" s="219"/>
      <c r="B19" s="222"/>
      <c r="C19" s="238" t="s">
        <v>21</v>
      </c>
      <c r="D19" s="239"/>
      <c r="E19" s="188" t="s">
        <v>61</v>
      </c>
    </row>
    <row r="20" spans="1:5" ht="27.75" customHeight="1" thickBot="1">
      <c r="A20" s="219"/>
      <c r="B20" s="223"/>
      <c r="C20" s="242" t="s">
        <v>22</v>
      </c>
      <c r="D20" s="243"/>
      <c r="E20" s="189" t="s">
        <v>63</v>
      </c>
    </row>
    <row r="21" spans="1:5" ht="20.25" customHeight="1">
      <c r="A21" s="219"/>
      <c r="B21" s="215" t="s">
        <v>267</v>
      </c>
      <c r="C21" s="244" t="s">
        <v>24</v>
      </c>
      <c r="D21" s="245"/>
      <c r="E21" s="190" t="s">
        <v>65</v>
      </c>
    </row>
    <row r="22" spans="1:5" ht="29.25" customHeight="1">
      <c r="A22" s="219"/>
      <c r="B22" s="216"/>
      <c r="C22" s="246" t="s">
        <v>25</v>
      </c>
      <c r="D22" s="247"/>
      <c r="E22" s="191" t="s">
        <v>186</v>
      </c>
    </row>
    <row r="23" spans="1:5" ht="24.75" customHeight="1" thickBot="1">
      <c r="B23" s="217"/>
      <c r="C23" s="240" t="s">
        <v>29</v>
      </c>
      <c r="D23" s="241"/>
      <c r="E23" s="192" t="s">
        <v>69</v>
      </c>
    </row>
    <row r="24" spans="1:5">
      <c r="B24" s="30"/>
      <c r="C24" s="30"/>
      <c r="D24" s="30"/>
      <c r="E24" s="30"/>
    </row>
    <row r="25" spans="1:5">
      <c r="B25" s="45"/>
    </row>
  </sheetData>
  <sheetProtection sheet="1" objects="1" scenarios="1"/>
  <mergeCells count="22">
    <mergeCell ref="C18:D18"/>
    <mergeCell ref="C19:D19"/>
    <mergeCell ref="C23:D23"/>
    <mergeCell ref="C20:D20"/>
    <mergeCell ref="C21:D21"/>
    <mergeCell ref="C22:D22"/>
    <mergeCell ref="B21:B23"/>
    <mergeCell ref="A1:E1"/>
    <mergeCell ref="A3:E3"/>
    <mergeCell ref="A7:A22"/>
    <mergeCell ref="D2:E2"/>
    <mergeCell ref="D4:E4"/>
    <mergeCell ref="B18:B20"/>
    <mergeCell ref="B7:B9"/>
    <mergeCell ref="B11:B17"/>
    <mergeCell ref="C11:D11"/>
    <mergeCell ref="C12:D12"/>
    <mergeCell ref="C13:D13"/>
    <mergeCell ref="C14:D14"/>
    <mergeCell ref="C15:D15"/>
    <mergeCell ref="C16:D16"/>
    <mergeCell ref="C17:D17"/>
  </mergeCells>
  <hyperlinks>
    <hyperlink ref="E4" r:id="rId1" display="Pour faire vos demndes de prise en charge, connectez-vous à Mon Espace" xr:uid="{AADEE2A1-1BF2-498B-B3EC-34CCDD3EC59E}"/>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35C2-B8B5-4885-81AD-D904E85A13B0}">
  <sheetPr codeName="Feuil4">
    <tabColor rgb="FFC93857"/>
  </sheetPr>
  <dimension ref="A1:AH740"/>
  <sheetViews>
    <sheetView showGridLines="0" showZeros="0" topLeftCell="A8" zoomScale="80" zoomScaleNormal="80" workbookViewId="0">
      <selection activeCell="AA17" sqref="AA17"/>
    </sheetView>
  </sheetViews>
  <sheetFormatPr baseColWidth="10" defaultColWidth="11.453125" defaultRowHeight="14.5"/>
  <cols>
    <col min="1" max="1" width="18.453125" style="84" customWidth="1"/>
    <col min="2" max="2" width="33" style="84" customWidth="1"/>
    <col min="3" max="3" width="16.453125" style="86" customWidth="1"/>
    <col min="4" max="4" width="13.7265625" style="86" customWidth="1"/>
    <col min="5" max="5" width="13.7265625" style="84" customWidth="1"/>
    <col min="6" max="6" width="17" style="84" bestFit="1" customWidth="1"/>
    <col min="7" max="7" width="16" style="84" customWidth="1"/>
    <col min="8" max="8" width="17.26953125" style="84" customWidth="1"/>
    <col min="9" max="9" width="14" style="84" customWidth="1"/>
    <col min="10" max="10" width="32.7265625" style="84" customWidth="1"/>
    <col min="11" max="11" width="42.453125" style="84" customWidth="1"/>
    <col min="12" max="12" width="10" style="84" customWidth="1"/>
    <col min="13" max="13" width="14.54296875" style="84" customWidth="1"/>
    <col min="14" max="14" width="19.7265625" style="84" bestFit="1" customWidth="1"/>
    <col min="15" max="15" width="22.26953125" style="84" bestFit="1" customWidth="1"/>
    <col min="16" max="16" width="13.54296875" style="84" customWidth="1"/>
    <col min="17" max="17" width="11.7265625" style="84" customWidth="1"/>
    <col min="18" max="18" width="29.7265625" style="84" bestFit="1" customWidth="1"/>
    <col min="19" max="19" width="22.7265625" style="84" customWidth="1"/>
    <col min="20" max="20" width="8.453125" style="122" customWidth="1"/>
    <col min="21" max="21" width="17.453125" style="84" bestFit="1" customWidth="1"/>
    <col min="22" max="22" width="17.26953125" style="84" customWidth="1"/>
    <col min="23" max="23" width="28.453125" style="84" customWidth="1"/>
    <col min="24" max="24" width="21.54296875" style="84" customWidth="1"/>
    <col min="25" max="25" width="28.453125" style="84" customWidth="1"/>
    <col min="26" max="26" width="30.1796875" style="86" customWidth="1"/>
    <col min="27" max="27" width="26.453125" style="86" customWidth="1"/>
    <col min="28" max="28" width="19.453125" style="84" customWidth="1"/>
    <col min="29" max="29" width="17.1796875" style="84" customWidth="1"/>
    <col min="30" max="30" width="17.54296875" style="84" customWidth="1"/>
    <col min="31" max="31" width="11.453125" style="84"/>
    <col min="32" max="32" width="16.26953125" style="84" customWidth="1"/>
    <col min="33" max="16384" width="11.453125" style="84"/>
  </cols>
  <sheetData>
    <row r="1" spans="1:34" ht="128.25" customHeight="1">
      <c r="A1" s="80"/>
      <c r="B1" s="248" t="s">
        <v>1</v>
      </c>
      <c r="C1" s="248"/>
      <c r="D1" s="248"/>
      <c r="E1" s="248"/>
      <c r="F1" s="248"/>
      <c r="G1" s="248"/>
      <c r="H1" s="248"/>
      <c r="I1" s="248"/>
      <c r="J1" s="248"/>
      <c r="K1" s="248"/>
      <c r="L1" s="80"/>
      <c r="M1" s="82"/>
      <c r="N1" s="82"/>
      <c r="O1" s="82"/>
      <c r="P1" s="82"/>
      <c r="Q1" s="82"/>
      <c r="R1" s="82"/>
      <c r="S1" s="82"/>
      <c r="T1" s="83"/>
      <c r="U1" s="82"/>
      <c r="V1" s="82"/>
      <c r="W1" s="82"/>
      <c r="X1" s="82"/>
      <c r="Y1" s="82"/>
      <c r="Z1" s="131"/>
      <c r="AA1" s="131"/>
      <c r="AB1" s="82"/>
      <c r="AC1" s="82"/>
      <c r="AD1" s="82"/>
      <c r="AE1" s="82"/>
      <c r="AF1" s="82"/>
      <c r="AG1" s="82"/>
      <c r="AH1" s="82"/>
    </row>
    <row r="2" spans="1:34">
      <c r="A2" s="81"/>
      <c r="B2" s="81"/>
      <c r="C2" s="81"/>
      <c r="D2" s="81"/>
      <c r="E2" s="81"/>
      <c r="F2" s="81"/>
      <c r="G2" s="81"/>
      <c r="H2" s="81"/>
      <c r="I2" s="81"/>
      <c r="J2" s="81"/>
      <c r="K2" s="81"/>
      <c r="L2" s="81"/>
      <c r="M2" s="82"/>
      <c r="N2" s="82"/>
      <c r="O2" s="82"/>
      <c r="P2" s="82"/>
      <c r="Q2" s="82"/>
      <c r="R2" s="82"/>
      <c r="S2" s="82"/>
      <c r="T2" s="83"/>
      <c r="U2" s="82"/>
      <c r="V2" s="82"/>
      <c r="W2" s="82"/>
      <c r="X2" s="82"/>
      <c r="Y2" s="82"/>
      <c r="Z2" s="131"/>
      <c r="AA2" s="131"/>
      <c r="AB2" s="82"/>
      <c r="AC2" s="82"/>
      <c r="AD2" s="82"/>
      <c r="AE2" s="82"/>
      <c r="AF2" s="82"/>
      <c r="AG2" s="82"/>
      <c r="AH2" s="82"/>
    </row>
    <row r="3" spans="1:34">
      <c r="A3" s="82"/>
      <c r="B3" s="82"/>
      <c r="C3" s="196" t="s">
        <v>2</v>
      </c>
      <c r="D3" s="196"/>
      <c r="E3" s="196"/>
      <c r="F3" s="196"/>
      <c r="G3" s="196"/>
      <c r="H3" s="196"/>
      <c r="I3" s="196"/>
      <c r="J3" s="85"/>
      <c r="K3" s="196" t="s">
        <v>258</v>
      </c>
      <c r="L3" s="196"/>
      <c r="M3" s="196"/>
      <c r="N3" s="82"/>
      <c r="O3" s="82"/>
      <c r="P3" s="82"/>
      <c r="Q3" s="82"/>
      <c r="R3" s="82"/>
      <c r="S3" s="82"/>
      <c r="T3" s="83"/>
      <c r="U3" s="82"/>
      <c r="V3" s="82"/>
      <c r="W3" s="82"/>
      <c r="X3" s="82"/>
      <c r="Y3" s="82"/>
      <c r="Z3" s="131"/>
      <c r="AA3" s="131"/>
      <c r="AB3" s="82"/>
      <c r="AC3" s="82"/>
      <c r="AD3" s="82"/>
      <c r="AE3" s="82"/>
      <c r="AF3" s="82"/>
      <c r="AG3" s="82"/>
      <c r="AH3" s="82"/>
    </row>
    <row r="4" spans="1:34" ht="18">
      <c r="A4" s="82"/>
      <c r="B4" s="82"/>
      <c r="C4" s="254"/>
      <c r="D4" s="254"/>
      <c r="E4" s="254"/>
      <c r="F4" s="254"/>
      <c r="G4" s="254"/>
      <c r="H4" s="254"/>
      <c r="I4" s="254"/>
      <c r="J4" s="82"/>
      <c r="K4" s="207"/>
      <c r="L4" s="207"/>
      <c r="M4" s="207"/>
      <c r="N4" s="82"/>
      <c r="O4" s="82"/>
      <c r="P4" s="82"/>
      <c r="Q4" s="82"/>
      <c r="R4" s="82"/>
      <c r="S4" s="82"/>
      <c r="T4" s="82"/>
      <c r="U4" s="82"/>
      <c r="V4" s="82"/>
      <c r="W4" s="82"/>
      <c r="X4" s="82"/>
      <c r="Y4" s="82"/>
      <c r="Z4" s="131"/>
      <c r="AA4" s="131"/>
      <c r="AB4" s="82"/>
      <c r="AC4" s="82"/>
      <c r="AD4" s="82"/>
      <c r="AE4" s="82"/>
      <c r="AF4" s="82"/>
      <c r="AG4" s="82"/>
      <c r="AH4" s="82"/>
    </row>
    <row r="5" spans="1:34">
      <c r="A5" s="82"/>
      <c r="B5" s="82"/>
      <c r="C5" s="196" t="s">
        <v>3</v>
      </c>
      <c r="D5" s="196"/>
      <c r="E5" s="196"/>
      <c r="F5" s="196"/>
      <c r="G5" s="196"/>
      <c r="H5" s="196"/>
      <c r="I5" s="196"/>
      <c r="J5" s="85"/>
      <c r="K5" s="196" t="s">
        <v>257</v>
      </c>
      <c r="L5" s="196"/>
      <c r="M5" s="196"/>
      <c r="N5" s="82"/>
      <c r="O5" s="82"/>
      <c r="P5" s="82"/>
      <c r="Q5" s="82"/>
      <c r="R5" s="82"/>
      <c r="S5" s="82"/>
      <c r="T5" s="82"/>
      <c r="U5" s="82"/>
      <c r="V5" s="82"/>
      <c r="W5" s="82"/>
      <c r="X5" s="82"/>
      <c r="Y5" s="82"/>
      <c r="Z5" s="131"/>
      <c r="AA5" s="131"/>
      <c r="AB5" s="82"/>
      <c r="AC5" s="82"/>
      <c r="AD5" s="82"/>
      <c r="AE5" s="82"/>
      <c r="AF5" s="82"/>
      <c r="AG5" s="82"/>
      <c r="AH5" s="82"/>
    </row>
    <row r="6" spans="1:34" ht="18">
      <c r="A6" s="82"/>
      <c r="B6" s="82"/>
      <c r="C6" s="254"/>
      <c r="D6" s="254"/>
      <c r="E6" s="254"/>
      <c r="F6" s="254"/>
      <c r="G6" s="254"/>
      <c r="H6" s="254"/>
      <c r="I6" s="254"/>
      <c r="J6" s="82"/>
      <c r="K6" s="208"/>
      <c r="L6" s="207"/>
      <c r="M6" s="207"/>
      <c r="N6" s="82"/>
      <c r="O6" s="82"/>
      <c r="P6" s="82"/>
      <c r="Q6" s="82"/>
      <c r="R6" s="82"/>
      <c r="S6" s="82"/>
      <c r="T6" s="82"/>
      <c r="U6" s="82"/>
      <c r="V6" s="82"/>
      <c r="W6" s="82"/>
      <c r="X6" s="82"/>
      <c r="Y6" s="82"/>
      <c r="Z6" s="131"/>
      <c r="AA6" s="131"/>
      <c r="AB6" s="82"/>
      <c r="AC6" s="82"/>
      <c r="AD6" s="82"/>
      <c r="AE6" s="82"/>
      <c r="AF6" s="82"/>
      <c r="AG6" s="82"/>
      <c r="AH6" s="82"/>
    </row>
    <row r="7" spans="1:34">
      <c r="A7" s="82"/>
      <c r="B7" s="82"/>
      <c r="C7" s="196" t="s">
        <v>4</v>
      </c>
      <c r="D7" s="196"/>
      <c r="E7" s="196"/>
      <c r="F7" s="196"/>
      <c r="G7" s="196"/>
      <c r="H7" s="196"/>
      <c r="I7" s="196"/>
      <c r="J7" s="85"/>
      <c r="K7" s="196" t="s">
        <v>259</v>
      </c>
      <c r="L7" s="196"/>
      <c r="M7" s="196"/>
      <c r="N7" s="82"/>
      <c r="O7" s="82"/>
      <c r="P7" s="82"/>
      <c r="Q7" s="82"/>
      <c r="R7" s="82"/>
      <c r="S7" s="82"/>
      <c r="T7" s="82"/>
      <c r="U7" s="82"/>
      <c r="V7" s="82"/>
      <c r="W7" s="82"/>
      <c r="X7" s="82"/>
      <c r="Y7" s="82"/>
      <c r="Z7" s="131"/>
      <c r="AA7" s="131"/>
      <c r="AB7" s="82"/>
      <c r="AC7" s="82"/>
      <c r="AD7" s="82"/>
      <c r="AE7" s="82"/>
      <c r="AF7" s="82"/>
      <c r="AG7" s="82"/>
      <c r="AH7" s="82"/>
    </row>
    <row r="8" spans="1:34" ht="18">
      <c r="A8" s="82"/>
      <c r="B8" s="82"/>
      <c r="C8" s="260"/>
      <c r="D8" s="260"/>
      <c r="E8" s="260"/>
      <c r="F8" s="260"/>
      <c r="G8" s="260"/>
      <c r="H8" s="260"/>
      <c r="I8" s="260"/>
      <c r="J8" s="82"/>
      <c r="K8" s="209"/>
      <c r="L8" s="209"/>
      <c r="M8" s="209"/>
      <c r="N8" s="82"/>
      <c r="O8" s="82"/>
      <c r="P8" s="82"/>
      <c r="Q8" s="82"/>
      <c r="R8" s="82"/>
      <c r="S8" s="82"/>
      <c r="T8" s="82"/>
      <c r="U8" s="82"/>
      <c r="V8" s="82"/>
      <c r="W8" s="82"/>
      <c r="X8" s="82"/>
      <c r="Y8" s="82"/>
      <c r="Z8" s="131"/>
      <c r="AA8" s="131"/>
      <c r="AB8" s="82"/>
      <c r="AC8" s="82"/>
      <c r="AD8" s="82"/>
      <c r="AE8" s="82"/>
      <c r="AF8" s="82"/>
      <c r="AG8" s="82"/>
      <c r="AH8" s="82"/>
    </row>
    <row r="9" spans="1:34">
      <c r="A9" s="82"/>
      <c r="B9" s="82"/>
      <c r="C9" s="82"/>
      <c r="D9" s="82"/>
      <c r="E9" s="82"/>
      <c r="F9" s="82"/>
      <c r="G9" s="82"/>
      <c r="H9" s="82"/>
      <c r="I9" s="82"/>
      <c r="J9" s="82"/>
      <c r="K9" s="82"/>
      <c r="L9" s="82"/>
      <c r="M9" s="82"/>
      <c r="N9" s="82"/>
      <c r="O9" s="82"/>
      <c r="P9" s="82"/>
      <c r="Q9" s="82"/>
      <c r="R9" s="82"/>
      <c r="S9" s="82"/>
      <c r="T9" s="83"/>
      <c r="U9" s="82"/>
      <c r="V9" s="82"/>
      <c r="W9" s="82"/>
      <c r="X9" s="82"/>
      <c r="Y9" s="82"/>
      <c r="Z9" s="131"/>
      <c r="AA9" s="131"/>
      <c r="AB9" s="82"/>
      <c r="AC9" s="82"/>
      <c r="AD9" s="82"/>
      <c r="AE9" s="82"/>
      <c r="AF9" s="82"/>
      <c r="AG9" s="82"/>
      <c r="AH9" s="82"/>
    </row>
    <row r="10" spans="1:34" ht="18.649999999999999" customHeight="1">
      <c r="A10" s="82"/>
      <c r="B10" s="82"/>
      <c r="C10" s="87" t="s">
        <v>277</v>
      </c>
      <c r="D10" s="88"/>
      <c r="E10" s="89"/>
      <c r="F10" s="89"/>
      <c r="G10" s="89"/>
      <c r="H10" s="89"/>
      <c r="I10" s="89"/>
      <c r="J10" s="89"/>
      <c r="K10" s="89"/>
      <c r="L10" s="89"/>
      <c r="M10" s="89"/>
      <c r="N10" s="89"/>
      <c r="O10" s="89"/>
      <c r="P10" s="89"/>
      <c r="Q10" s="89"/>
      <c r="R10" s="89"/>
      <c r="S10" s="89"/>
      <c r="T10" s="88"/>
      <c r="U10" s="89"/>
      <c r="V10" s="89"/>
      <c r="W10" s="89"/>
      <c r="X10" s="89"/>
      <c r="Y10" s="89"/>
      <c r="Z10" s="88"/>
      <c r="AA10" s="88"/>
      <c r="AB10" s="89"/>
      <c r="AC10" s="89"/>
      <c r="AD10" s="82"/>
      <c r="AE10" s="82"/>
      <c r="AF10" s="82"/>
      <c r="AG10" s="82"/>
      <c r="AH10" s="82"/>
    </row>
    <row r="11" spans="1:34" s="91" customFormat="1" ht="49.5" customHeight="1">
      <c r="A11" s="249" t="s">
        <v>5</v>
      </c>
      <c r="B11" s="249"/>
      <c r="C11" s="249"/>
      <c r="D11" s="249"/>
      <c r="E11" s="249"/>
      <c r="F11" s="249"/>
      <c r="G11" s="249"/>
      <c r="H11" s="249"/>
      <c r="I11" s="249"/>
      <c r="J11" s="249"/>
      <c r="K11" s="249"/>
      <c r="L11" s="249"/>
      <c r="M11" s="250"/>
      <c r="N11" s="251" t="s">
        <v>6</v>
      </c>
      <c r="O11" s="252"/>
      <c r="P11" s="252"/>
      <c r="Q11" s="252"/>
      <c r="R11" s="252"/>
      <c r="S11" s="252"/>
      <c r="T11" s="252"/>
      <c r="U11" s="253"/>
      <c r="V11" s="90" t="s">
        <v>231</v>
      </c>
      <c r="W11" s="261" t="s">
        <v>237</v>
      </c>
      <c r="X11" s="262"/>
      <c r="Y11" s="263"/>
      <c r="Z11" s="258" t="s">
        <v>226</v>
      </c>
      <c r="AA11" s="259"/>
      <c r="AB11" s="255" t="s">
        <v>267</v>
      </c>
      <c r="AC11" s="256"/>
      <c r="AD11" s="256"/>
      <c r="AE11" s="256"/>
      <c r="AF11" s="256"/>
      <c r="AG11" s="256"/>
      <c r="AH11" s="257"/>
    </row>
    <row r="12" spans="1:34" s="153" customFormat="1" ht="79.5" customHeight="1">
      <c r="A12" s="140" t="s">
        <v>223</v>
      </c>
      <c r="B12" s="140" t="s">
        <v>8</v>
      </c>
      <c r="C12" s="140" t="s">
        <v>9</v>
      </c>
      <c r="D12" s="140" t="s">
        <v>10</v>
      </c>
      <c r="E12" s="140" t="s">
        <v>11</v>
      </c>
      <c r="F12" s="141" t="s">
        <v>12</v>
      </c>
      <c r="G12" s="142" t="s">
        <v>264</v>
      </c>
      <c r="H12" s="142" t="s">
        <v>265</v>
      </c>
      <c r="I12" s="141" t="s">
        <v>224</v>
      </c>
      <c r="J12" s="140" t="s">
        <v>204</v>
      </c>
      <c r="K12" s="140" t="s">
        <v>13</v>
      </c>
      <c r="L12" s="140" t="s">
        <v>199</v>
      </c>
      <c r="M12" s="140" t="s">
        <v>14</v>
      </c>
      <c r="N12" s="143" t="s">
        <v>16</v>
      </c>
      <c r="O12" s="144" t="s">
        <v>17</v>
      </c>
      <c r="P12" s="144" t="s">
        <v>18</v>
      </c>
      <c r="Q12" s="144" t="s">
        <v>219</v>
      </c>
      <c r="R12" s="144" t="s">
        <v>19</v>
      </c>
      <c r="S12" s="144" t="s">
        <v>20</v>
      </c>
      <c r="T12" s="144" t="s">
        <v>21</v>
      </c>
      <c r="U12" s="144" t="s">
        <v>22</v>
      </c>
      <c r="V12" s="145" t="s">
        <v>238</v>
      </c>
      <c r="W12" s="145" t="s">
        <v>232</v>
      </c>
      <c r="X12" s="145" t="s">
        <v>23</v>
      </c>
      <c r="Y12" s="146" t="s">
        <v>236</v>
      </c>
      <c r="Z12" s="147" t="s">
        <v>187</v>
      </c>
      <c r="AA12" s="148" t="s">
        <v>193</v>
      </c>
      <c r="AB12" s="149" t="s">
        <v>24</v>
      </c>
      <c r="AC12" s="150" t="s">
        <v>25</v>
      </c>
      <c r="AD12" s="151" t="s">
        <v>26</v>
      </c>
      <c r="AE12" s="151" t="s">
        <v>27</v>
      </c>
      <c r="AF12" s="151" t="s">
        <v>28</v>
      </c>
      <c r="AG12" s="151" t="s">
        <v>29</v>
      </c>
      <c r="AH12" s="152" t="s">
        <v>227</v>
      </c>
    </row>
    <row r="13" spans="1:34" s="98" customFormat="1" ht="4.5" customHeight="1">
      <c r="A13" s="92"/>
      <c r="B13" s="93"/>
      <c r="C13" s="93"/>
      <c r="D13" s="93"/>
      <c r="E13" s="93"/>
      <c r="F13" s="94"/>
      <c r="G13" s="93"/>
      <c r="H13" s="93"/>
      <c r="I13" s="94"/>
      <c r="J13" s="95"/>
      <c r="K13" s="93"/>
      <c r="L13" s="95"/>
      <c r="M13" s="93"/>
      <c r="N13" s="93"/>
      <c r="O13" s="93"/>
      <c r="P13" s="93"/>
      <c r="Q13" s="93"/>
      <c r="R13" s="93"/>
      <c r="S13" s="94"/>
      <c r="T13" s="93"/>
      <c r="U13" s="93"/>
      <c r="V13" s="96"/>
      <c r="W13" s="96"/>
      <c r="X13" s="96"/>
      <c r="Y13" s="96"/>
      <c r="Z13" s="96"/>
      <c r="AA13" s="94"/>
      <c r="AB13" s="94"/>
      <c r="AC13" s="94"/>
      <c r="AD13" s="94"/>
      <c r="AE13" s="94"/>
      <c r="AF13" s="94"/>
      <c r="AG13" s="94"/>
      <c r="AH13" s="97"/>
    </row>
    <row r="14" spans="1:34" s="107" customFormat="1" ht="15" customHeight="1">
      <c r="A14" s="99" t="s">
        <v>229</v>
      </c>
      <c r="B14" s="99" t="s">
        <v>230</v>
      </c>
      <c r="C14" s="100" t="s">
        <v>30</v>
      </c>
      <c r="D14" s="100" t="s">
        <v>31</v>
      </c>
      <c r="E14" s="101" t="s">
        <v>32</v>
      </c>
      <c r="F14" s="102" t="s">
        <v>33</v>
      </c>
      <c r="G14" s="101" t="s">
        <v>34</v>
      </c>
      <c r="H14" s="101"/>
      <c r="I14" s="101" t="s">
        <v>225</v>
      </c>
      <c r="J14" s="102" t="s">
        <v>217</v>
      </c>
      <c r="K14" s="102" t="s">
        <v>35</v>
      </c>
      <c r="L14" s="102" t="s">
        <v>200</v>
      </c>
      <c r="M14" s="101" t="s">
        <v>172</v>
      </c>
      <c r="N14" s="99" t="s">
        <v>36</v>
      </c>
      <c r="O14" s="102" t="s">
        <v>37</v>
      </c>
      <c r="P14" s="102" t="s">
        <v>38</v>
      </c>
      <c r="Q14" s="101" t="s">
        <v>172</v>
      </c>
      <c r="R14" s="102" t="s">
        <v>39</v>
      </c>
      <c r="S14" s="102" t="s">
        <v>40</v>
      </c>
      <c r="T14" s="101" t="s">
        <v>41</v>
      </c>
      <c r="U14" s="102" t="s">
        <v>42</v>
      </c>
      <c r="V14" s="103">
        <v>20</v>
      </c>
      <c r="W14" s="104" t="s">
        <v>206</v>
      </c>
      <c r="X14" s="104" t="s">
        <v>75</v>
      </c>
      <c r="Y14" s="103" t="s">
        <v>171</v>
      </c>
      <c r="Z14" s="101" t="s">
        <v>188</v>
      </c>
      <c r="AA14" s="101" t="s">
        <v>194</v>
      </c>
      <c r="AB14" s="102">
        <v>195.75</v>
      </c>
      <c r="AC14" s="102">
        <v>131.53</v>
      </c>
      <c r="AD14" s="102">
        <v>8.5</v>
      </c>
      <c r="AE14" s="102">
        <v>9.5</v>
      </c>
      <c r="AF14" s="102">
        <v>22</v>
      </c>
      <c r="AG14" s="105">
        <v>23</v>
      </c>
      <c r="AH14" s="106">
        <f t="shared" ref="AH14:AH15" si="0">SUM(AB14:AG14)</f>
        <v>390.28</v>
      </c>
    </row>
    <row r="15" spans="1:34" s="91" customFormat="1" ht="15" customHeight="1">
      <c r="A15" s="108">
        <f>'PDC simplifié'!E13</f>
        <v>0</v>
      </c>
      <c r="B15" s="108">
        <f>'PDC simplifié'!F13</f>
        <v>0</v>
      </c>
      <c r="C15" s="109">
        <f>'PDC simplifié'!G13</f>
        <v>0</v>
      </c>
      <c r="D15" s="109">
        <f>'PDC simplifié'!H13</f>
        <v>0</v>
      </c>
      <c r="E15" s="110">
        <f>'PDC simplifié'!I13</f>
        <v>0</v>
      </c>
      <c r="F15" s="111">
        <f>'PDC simplifié'!J13</f>
        <v>0</v>
      </c>
      <c r="G15" s="112"/>
      <c r="H15" s="113">
        <f>'PDC simplifié'!L13</f>
        <v>0</v>
      </c>
      <c r="I15" s="132">
        <f>'PDC simplifié'!K13</f>
        <v>0</v>
      </c>
      <c r="J15" s="114"/>
      <c r="K15" s="114"/>
      <c r="L15" s="114"/>
      <c r="M15" s="132"/>
      <c r="N15" s="115">
        <f>'PDC simplifié'!M13</f>
        <v>0</v>
      </c>
      <c r="O15" s="116"/>
      <c r="P15" s="116"/>
      <c r="Q15" s="132"/>
      <c r="R15" s="116"/>
      <c r="S15" s="116"/>
      <c r="T15" s="117">
        <f>'PDC simplifié'!N13</f>
        <v>0</v>
      </c>
      <c r="U15" s="115">
        <f>'PDC simplifié'!O13</f>
        <v>0</v>
      </c>
      <c r="V15" s="193">
        <f>'PDC simplifié'!D13</f>
        <v>0</v>
      </c>
      <c r="W15" s="118">
        <f>'PDC simplifié'!A13</f>
        <v>0</v>
      </c>
      <c r="X15" s="118">
        <f>'PDC simplifié'!B13</f>
        <v>0</v>
      </c>
      <c r="Y15" s="170">
        <f>'PDC simplifié'!C13</f>
        <v>0</v>
      </c>
      <c r="Z15" s="132"/>
      <c r="AA15" s="132"/>
      <c r="AB15" s="115">
        <f>'PDC simplifié'!P13</f>
        <v>0</v>
      </c>
      <c r="AC15" s="115">
        <f>'PDC simplifié'!Q13</f>
        <v>0</v>
      </c>
      <c r="AD15" s="115"/>
      <c r="AE15" s="115"/>
      <c r="AF15" s="115"/>
      <c r="AG15" s="119">
        <f>'PDC simplifié'!Q13</f>
        <v>0</v>
      </c>
      <c r="AH15" s="120">
        <f t="shared" si="0"/>
        <v>0</v>
      </c>
    </row>
    <row r="16" spans="1:34" s="91" customFormat="1">
      <c r="A16" s="108">
        <f>'PDC simplifié'!E14</f>
        <v>0</v>
      </c>
      <c r="B16" s="108">
        <f>'PDC simplifié'!F14</f>
        <v>0</v>
      </c>
      <c r="C16" s="109">
        <f>'PDC simplifié'!G14</f>
        <v>0</v>
      </c>
      <c r="D16" s="109">
        <f>'PDC simplifié'!H14</f>
        <v>0</v>
      </c>
      <c r="E16" s="110">
        <f>'PDC simplifié'!I14</f>
        <v>0</v>
      </c>
      <c r="F16" s="111">
        <f>'PDC simplifié'!J14</f>
        <v>0</v>
      </c>
      <c r="G16" s="112"/>
      <c r="H16" s="113">
        <f>'PDC simplifié'!L14</f>
        <v>0</v>
      </c>
      <c r="I16" s="132">
        <f>'PDC simplifié'!K14</f>
        <v>0</v>
      </c>
      <c r="J16" s="114"/>
      <c r="K16" s="114"/>
      <c r="L16" s="114"/>
      <c r="M16" s="132"/>
      <c r="N16" s="115">
        <f>'PDC simplifié'!M14</f>
        <v>0</v>
      </c>
      <c r="O16" s="116"/>
      <c r="P16" s="116"/>
      <c r="Q16" s="132"/>
      <c r="R16" s="116"/>
      <c r="S16" s="116"/>
      <c r="T16" s="117">
        <f>'PDC simplifié'!N14</f>
        <v>0</v>
      </c>
      <c r="U16" s="115">
        <f>'PDC simplifié'!O14</f>
        <v>0</v>
      </c>
      <c r="V16" s="193">
        <f>'PDC simplifié'!D14</f>
        <v>0</v>
      </c>
      <c r="W16" s="118">
        <f>'PDC simplifié'!A14</f>
        <v>0</v>
      </c>
      <c r="X16" s="118">
        <f>'PDC simplifié'!B14</f>
        <v>0</v>
      </c>
      <c r="Y16" s="170">
        <f>'PDC simplifié'!C14</f>
        <v>0</v>
      </c>
      <c r="Z16" s="132"/>
      <c r="AA16" s="132"/>
      <c r="AB16" s="115">
        <f>'PDC simplifié'!P14</f>
        <v>0</v>
      </c>
      <c r="AC16" s="115">
        <f>'PDC simplifié'!Q14</f>
        <v>0</v>
      </c>
      <c r="AD16" s="115"/>
      <c r="AE16" s="115"/>
      <c r="AF16" s="115"/>
      <c r="AG16" s="119">
        <f>'PDC simplifié'!Q14</f>
        <v>0</v>
      </c>
      <c r="AH16" s="120">
        <f t="shared" ref="AH16:AH24" si="1">SUM(AB16:AG16)</f>
        <v>0</v>
      </c>
    </row>
    <row r="17" spans="1:34" s="91" customFormat="1">
      <c r="A17" s="108">
        <f>'PDC simplifié'!E15</f>
        <v>0</v>
      </c>
      <c r="B17" s="108">
        <f>'PDC simplifié'!F15</f>
        <v>0</v>
      </c>
      <c r="C17" s="109">
        <f>'PDC simplifié'!G15</f>
        <v>0</v>
      </c>
      <c r="D17" s="109">
        <f>'PDC simplifié'!H15</f>
        <v>0</v>
      </c>
      <c r="E17" s="110">
        <f>'PDC simplifié'!I15</f>
        <v>0</v>
      </c>
      <c r="F17" s="111">
        <f>'PDC simplifié'!J15</f>
        <v>0</v>
      </c>
      <c r="G17" s="112"/>
      <c r="H17" s="113">
        <f>'PDC simplifié'!L15</f>
        <v>0</v>
      </c>
      <c r="I17" s="132">
        <f>'PDC simplifié'!K15</f>
        <v>0</v>
      </c>
      <c r="J17" s="114"/>
      <c r="K17" s="114"/>
      <c r="L17" s="114"/>
      <c r="M17" s="132"/>
      <c r="N17" s="115">
        <f>'PDC simplifié'!M15</f>
        <v>0</v>
      </c>
      <c r="O17" s="116"/>
      <c r="P17" s="116"/>
      <c r="Q17" s="132"/>
      <c r="R17" s="116"/>
      <c r="S17" s="116"/>
      <c r="T17" s="117">
        <f>'PDC simplifié'!N15</f>
        <v>0</v>
      </c>
      <c r="U17" s="115">
        <f>'PDC simplifié'!O15</f>
        <v>0</v>
      </c>
      <c r="V17" s="193">
        <f>'PDC simplifié'!D15</f>
        <v>0</v>
      </c>
      <c r="W17" s="118">
        <f>'PDC simplifié'!A15</f>
        <v>0</v>
      </c>
      <c r="X17" s="118">
        <f>'PDC simplifié'!B15</f>
        <v>0</v>
      </c>
      <c r="Y17" s="170">
        <f>'PDC simplifié'!C15</f>
        <v>0</v>
      </c>
      <c r="Z17" s="132"/>
      <c r="AA17" s="132"/>
      <c r="AB17" s="115">
        <f>'PDC simplifié'!P15</f>
        <v>0</v>
      </c>
      <c r="AC17" s="115">
        <f>'PDC simplifié'!Q15</f>
        <v>0</v>
      </c>
      <c r="AD17" s="115"/>
      <c r="AE17" s="115"/>
      <c r="AF17" s="115"/>
      <c r="AG17" s="119">
        <f>'PDC simplifié'!Q15</f>
        <v>0</v>
      </c>
      <c r="AH17" s="120">
        <f t="shared" si="1"/>
        <v>0</v>
      </c>
    </row>
    <row r="18" spans="1:34" s="91" customFormat="1">
      <c r="A18" s="108">
        <f>'PDC simplifié'!E16</f>
        <v>0</v>
      </c>
      <c r="B18" s="108">
        <f>'PDC simplifié'!F16</f>
        <v>0</v>
      </c>
      <c r="C18" s="109">
        <f>'PDC simplifié'!G16</f>
        <v>0</v>
      </c>
      <c r="D18" s="109">
        <f>'PDC simplifié'!H16</f>
        <v>0</v>
      </c>
      <c r="E18" s="110">
        <f>'PDC simplifié'!I16</f>
        <v>0</v>
      </c>
      <c r="F18" s="111">
        <f>'PDC simplifié'!J16</f>
        <v>0</v>
      </c>
      <c r="G18" s="112"/>
      <c r="H18" s="113">
        <f>'PDC simplifié'!L16</f>
        <v>0</v>
      </c>
      <c r="I18" s="132">
        <f>'PDC simplifié'!K16</f>
        <v>0</v>
      </c>
      <c r="J18" s="114"/>
      <c r="K18" s="114"/>
      <c r="L18" s="114"/>
      <c r="M18" s="132"/>
      <c r="N18" s="115">
        <f>'PDC simplifié'!M16</f>
        <v>0</v>
      </c>
      <c r="O18" s="116"/>
      <c r="P18" s="116"/>
      <c r="Q18" s="132"/>
      <c r="R18" s="116"/>
      <c r="S18" s="116"/>
      <c r="T18" s="117">
        <f>'PDC simplifié'!N16</f>
        <v>0</v>
      </c>
      <c r="U18" s="115">
        <f>'PDC simplifié'!O16</f>
        <v>0</v>
      </c>
      <c r="V18" s="193">
        <f>'PDC simplifié'!D16</f>
        <v>0</v>
      </c>
      <c r="W18" s="118">
        <f>'PDC simplifié'!A16</f>
        <v>0</v>
      </c>
      <c r="X18" s="118">
        <f>'PDC simplifié'!B16</f>
        <v>0</v>
      </c>
      <c r="Y18" s="170">
        <f>'PDC simplifié'!C16</f>
        <v>0</v>
      </c>
      <c r="Z18" s="132"/>
      <c r="AA18" s="132"/>
      <c r="AB18" s="115">
        <f>'PDC simplifié'!P16</f>
        <v>0</v>
      </c>
      <c r="AC18" s="115">
        <f>'PDC simplifié'!Q16</f>
        <v>0</v>
      </c>
      <c r="AD18" s="115"/>
      <c r="AE18" s="115"/>
      <c r="AF18" s="115"/>
      <c r="AG18" s="119">
        <f>'PDC simplifié'!Q16</f>
        <v>0</v>
      </c>
      <c r="AH18" s="120">
        <f t="shared" si="1"/>
        <v>0</v>
      </c>
    </row>
    <row r="19" spans="1:34" s="91" customFormat="1">
      <c r="A19" s="108">
        <f>'PDC simplifié'!E17</f>
        <v>0</v>
      </c>
      <c r="B19" s="108">
        <f>'PDC simplifié'!F17</f>
        <v>0</v>
      </c>
      <c r="C19" s="109">
        <f>'PDC simplifié'!G17</f>
        <v>0</v>
      </c>
      <c r="D19" s="109">
        <f>'PDC simplifié'!H17</f>
        <v>0</v>
      </c>
      <c r="E19" s="110">
        <f>'PDC simplifié'!I17</f>
        <v>0</v>
      </c>
      <c r="F19" s="111">
        <f>'PDC simplifié'!J17</f>
        <v>0</v>
      </c>
      <c r="G19" s="112"/>
      <c r="H19" s="113">
        <f>'PDC simplifié'!L17</f>
        <v>0</v>
      </c>
      <c r="I19" s="132">
        <f>'PDC simplifié'!K17</f>
        <v>0</v>
      </c>
      <c r="J19" s="114"/>
      <c r="K19" s="114"/>
      <c r="L19" s="114"/>
      <c r="M19" s="132"/>
      <c r="N19" s="115">
        <f>'PDC simplifié'!M17</f>
        <v>0</v>
      </c>
      <c r="O19" s="116"/>
      <c r="P19" s="116"/>
      <c r="Q19" s="132"/>
      <c r="R19" s="116"/>
      <c r="S19" s="116"/>
      <c r="T19" s="117">
        <f>'PDC simplifié'!N17</f>
        <v>0</v>
      </c>
      <c r="U19" s="115">
        <f>'PDC simplifié'!O17</f>
        <v>0</v>
      </c>
      <c r="V19" s="193">
        <f>'PDC simplifié'!D17</f>
        <v>0</v>
      </c>
      <c r="W19" s="118">
        <f>'PDC simplifié'!A17</f>
        <v>0</v>
      </c>
      <c r="X19" s="118">
        <f>'PDC simplifié'!B17</f>
        <v>0</v>
      </c>
      <c r="Y19" s="170">
        <f>'PDC simplifié'!C17</f>
        <v>0</v>
      </c>
      <c r="Z19" s="132"/>
      <c r="AA19" s="132"/>
      <c r="AB19" s="115">
        <f>'PDC simplifié'!P17</f>
        <v>0</v>
      </c>
      <c r="AC19" s="115">
        <f>'PDC simplifié'!Q17</f>
        <v>0</v>
      </c>
      <c r="AD19" s="115"/>
      <c r="AE19" s="115"/>
      <c r="AF19" s="115"/>
      <c r="AG19" s="119">
        <f>'PDC simplifié'!Q17</f>
        <v>0</v>
      </c>
      <c r="AH19" s="120">
        <f t="shared" si="1"/>
        <v>0</v>
      </c>
    </row>
    <row r="20" spans="1:34" s="91" customFormat="1">
      <c r="A20" s="108">
        <f>'PDC simplifié'!E18</f>
        <v>0</v>
      </c>
      <c r="B20" s="108">
        <f>'PDC simplifié'!F18</f>
        <v>0</v>
      </c>
      <c r="C20" s="109">
        <f>'PDC simplifié'!G18</f>
        <v>0</v>
      </c>
      <c r="D20" s="109">
        <f>'PDC simplifié'!H18</f>
        <v>0</v>
      </c>
      <c r="E20" s="110">
        <f>'PDC simplifié'!I18</f>
        <v>0</v>
      </c>
      <c r="F20" s="111">
        <f>'PDC simplifié'!J18</f>
        <v>0</v>
      </c>
      <c r="G20" s="112"/>
      <c r="H20" s="113">
        <f>'PDC simplifié'!L18</f>
        <v>0</v>
      </c>
      <c r="I20" s="132">
        <f>'PDC simplifié'!K18</f>
        <v>0</v>
      </c>
      <c r="J20" s="114"/>
      <c r="K20" s="114"/>
      <c r="L20" s="114"/>
      <c r="M20" s="132"/>
      <c r="N20" s="115">
        <f>'PDC simplifié'!M18</f>
        <v>0</v>
      </c>
      <c r="O20" s="116"/>
      <c r="P20" s="116"/>
      <c r="Q20" s="132"/>
      <c r="R20" s="116"/>
      <c r="S20" s="116"/>
      <c r="T20" s="117">
        <f>'PDC simplifié'!N18</f>
        <v>0</v>
      </c>
      <c r="U20" s="115">
        <f>'PDC simplifié'!O18</f>
        <v>0</v>
      </c>
      <c r="V20" s="193">
        <f>'PDC simplifié'!D18</f>
        <v>0</v>
      </c>
      <c r="W20" s="118">
        <f>'PDC simplifié'!A18</f>
        <v>0</v>
      </c>
      <c r="X20" s="118">
        <f>'PDC simplifié'!B18</f>
        <v>0</v>
      </c>
      <c r="Y20" s="170">
        <f>'PDC simplifié'!C18</f>
        <v>0</v>
      </c>
      <c r="Z20" s="132"/>
      <c r="AA20" s="132"/>
      <c r="AB20" s="115">
        <f>'PDC simplifié'!P18</f>
        <v>0</v>
      </c>
      <c r="AC20" s="115">
        <f>'PDC simplifié'!Q18</f>
        <v>0</v>
      </c>
      <c r="AD20" s="115"/>
      <c r="AE20" s="115"/>
      <c r="AF20" s="115"/>
      <c r="AG20" s="119">
        <f>'PDC simplifié'!Q18</f>
        <v>0</v>
      </c>
      <c r="AH20" s="120">
        <f t="shared" si="1"/>
        <v>0</v>
      </c>
    </row>
    <row r="21" spans="1:34" s="91" customFormat="1">
      <c r="A21" s="108">
        <f>'PDC simplifié'!E19</f>
        <v>0</v>
      </c>
      <c r="B21" s="108">
        <f>'PDC simplifié'!F19</f>
        <v>0</v>
      </c>
      <c r="C21" s="109">
        <f>'PDC simplifié'!G19</f>
        <v>0</v>
      </c>
      <c r="D21" s="109">
        <f>'PDC simplifié'!H19</f>
        <v>0</v>
      </c>
      <c r="E21" s="110">
        <f>'PDC simplifié'!I19</f>
        <v>0</v>
      </c>
      <c r="F21" s="111">
        <f>'PDC simplifié'!J19</f>
        <v>0</v>
      </c>
      <c r="G21" s="112"/>
      <c r="H21" s="113">
        <f>'PDC simplifié'!L19</f>
        <v>0</v>
      </c>
      <c r="I21" s="132">
        <f>'PDC simplifié'!K19</f>
        <v>0</v>
      </c>
      <c r="J21" s="114"/>
      <c r="K21" s="114"/>
      <c r="L21" s="114"/>
      <c r="M21" s="132"/>
      <c r="N21" s="115">
        <f>'PDC simplifié'!M19</f>
        <v>0</v>
      </c>
      <c r="O21" s="116"/>
      <c r="P21" s="116"/>
      <c r="Q21" s="132"/>
      <c r="R21" s="116"/>
      <c r="S21" s="116"/>
      <c r="T21" s="117">
        <f>'PDC simplifié'!N19</f>
        <v>0</v>
      </c>
      <c r="U21" s="115">
        <f>'PDC simplifié'!O19</f>
        <v>0</v>
      </c>
      <c r="V21" s="193">
        <f>'PDC simplifié'!D19</f>
        <v>0</v>
      </c>
      <c r="W21" s="118">
        <f>'PDC simplifié'!A19</f>
        <v>0</v>
      </c>
      <c r="X21" s="118">
        <f>'PDC simplifié'!B19</f>
        <v>0</v>
      </c>
      <c r="Y21" s="170">
        <f>'PDC simplifié'!C19</f>
        <v>0</v>
      </c>
      <c r="Z21" s="132"/>
      <c r="AA21" s="132"/>
      <c r="AB21" s="115">
        <f>'PDC simplifié'!P19</f>
        <v>0</v>
      </c>
      <c r="AC21" s="115">
        <f>'PDC simplifié'!Q19</f>
        <v>0</v>
      </c>
      <c r="AD21" s="115"/>
      <c r="AE21" s="115"/>
      <c r="AF21" s="115"/>
      <c r="AG21" s="119">
        <f>'PDC simplifié'!Q19</f>
        <v>0</v>
      </c>
      <c r="AH21" s="120">
        <f t="shared" si="1"/>
        <v>0</v>
      </c>
    </row>
    <row r="22" spans="1:34" s="91" customFormat="1">
      <c r="A22" s="108">
        <f>'PDC simplifié'!E20</f>
        <v>0</v>
      </c>
      <c r="B22" s="108">
        <f>'PDC simplifié'!F20</f>
        <v>0</v>
      </c>
      <c r="C22" s="109">
        <f>'PDC simplifié'!G20</f>
        <v>0</v>
      </c>
      <c r="D22" s="109">
        <f>'PDC simplifié'!H20</f>
        <v>0</v>
      </c>
      <c r="E22" s="110">
        <f>'PDC simplifié'!I20</f>
        <v>0</v>
      </c>
      <c r="F22" s="111">
        <f>'PDC simplifié'!J20</f>
        <v>0</v>
      </c>
      <c r="G22" s="112"/>
      <c r="H22" s="113">
        <f>'PDC simplifié'!L20</f>
        <v>0</v>
      </c>
      <c r="I22" s="132">
        <f>'PDC simplifié'!K20</f>
        <v>0</v>
      </c>
      <c r="J22" s="114"/>
      <c r="K22" s="114"/>
      <c r="L22" s="114"/>
      <c r="M22" s="132"/>
      <c r="N22" s="115">
        <f>'PDC simplifié'!M20</f>
        <v>0</v>
      </c>
      <c r="O22" s="116"/>
      <c r="P22" s="116"/>
      <c r="Q22" s="132"/>
      <c r="R22" s="116"/>
      <c r="S22" s="116"/>
      <c r="T22" s="117">
        <f>'PDC simplifié'!N20</f>
        <v>0</v>
      </c>
      <c r="U22" s="115">
        <f>'PDC simplifié'!O20</f>
        <v>0</v>
      </c>
      <c r="V22" s="193">
        <f>'PDC simplifié'!D20</f>
        <v>0</v>
      </c>
      <c r="W22" s="118">
        <f>'PDC simplifié'!A20</f>
        <v>0</v>
      </c>
      <c r="X22" s="118">
        <f>'PDC simplifié'!B20</f>
        <v>0</v>
      </c>
      <c r="Y22" s="170">
        <f>'PDC simplifié'!C20</f>
        <v>0</v>
      </c>
      <c r="Z22" s="132"/>
      <c r="AA22" s="132"/>
      <c r="AB22" s="115">
        <f>'PDC simplifié'!P20</f>
        <v>0</v>
      </c>
      <c r="AC22" s="115">
        <f>'PDC simplifié'!Q20</f>
        <v>0</v>
      </c>
      <c r="AD22" s="115"/>
      <c r="AE22" s="115"/>
      <c r="AF22" s="115"/>
      <c r="AG22" s="119">
        <f>'PDC simplifié'!Q20</f>
        <v>0</v>
      </c>
      <c r="AH22" s="120">
        <f t="shared" si="1"/>
        <v>0</v>
      </c>
    </row>
    <row r="23" spans="1:34" s="91" customFormat="1">
      <c r="A23" s="108">
        <f>'PDC simplifié'!E21</f>
        <v>0</v>
      </c>
      <c r="B23" s="108">
        <f>'PDC simplifié'!F21</f>
        <v>0</v>
      </c>
      <c r="C23" s="109">
        <f>'PDC simplifié'!G21</f>
        <v>0</v>
      </c>
      <c r="D23" s="109">
        <f>'PDC simplifié'!H21</f>
        <v>0</v>
      </c>
      <c r="E23" s="110">
        <f>'PDC simplifié'!I21</f>
        <v>0</v>
      </c>
      <c r="F23" s="111">
        <f>'PDC simplifié'!J21</f>
        <v>0</v>
      </c>
      <c r="G23" s="112"/>
      <c r="H23" s="113">
        <f>'PDC simplifié'!L21</f>
        <v>0</v>
      </c>
      <c r="I23" s="132">
        <f>'PDC simplifié'!K21</f>
        <v>0</v>
      </c>
      <c r="J23" s="114"/>
      <c r="K23" s="114"/>
      <c r="L23" s="114"/>
      <c r="M23" s="132"/>
      <c r="N23" s="115">
        <f>'PDC simplifié'!M21</f>
        <v>0</v>
      </c>
      <c r="O23" s="116"/>
      <c r="P23" s="116"/>
      <c r="Q23" s="132"/>
      <c r="R23" s="116"/>
      <c r="S23" s="116"/>
      <c r="T23" s="117">
        <f>'PDC simplifié'!N21</f>
        <v>0</v>
      </c>
      <c r="U23" s="115">
        <f>'PDC simplifié'!O21</f>
        <v>0</v>
      </c>
      <c r="V23" s="193">
        <f>'PDC simplifié'!D21</f>
        <v>0</v>
      </c>
      <c r="W23" s="118">
        <f>'PDC simplifié'!A21</f>
        <v>0</v>
      </c>
      <c r="X23" s="118">
        <f>'PDC simplifié'!B21</f>
        <v>0</v>
      </c>
      <c r="Y23" s="170">
        <f>'PDC simplifié'!C21</f>
        <v>0</v>
      </c>
      <c r="Z23" s="132"/>
      <c r="AA23" s="132"/>
      <c r="AB23" s="115">
        <f>'PDC simplifié'!P21</f>
        <v>0</v>
      </c>
      <c r="AC23" s="115">
        <f>'PDC simplifié'!Q21</f>
        <v>0</v>
      </c>
      <c r="AD23" s="115"/>
      <c r="AE23" s="115"/>
      <c r="AF23" s="115"/>
      <c r="AG23" s="119">
        <f>'PDC simplifié'!Q21</f>
        <v>0</v>
      </c>
      <c r="AH23" s="120">
        <f t="shared" si="1"/>
        <v>0</v>
      </c>
    </row>
    <row r="24" spans="1:34">
      <c r="A24" s="108">
        <f>'PDC simplifié'!E22</f>
        <v>0</v>
      </c>
      <c r="B24" s="108">
        <f>'PDC simplifié'!F22</f>
        <v>0</v>
      </c>
      <c r="C24" s="109">
        <f>'PDC simplifié'!G22</f>
        <v>0</v>
      </c>
      <c r="D24" s="109">
        <f>'PDC simplifié'!H22</f>
        <v>0</v>
      </c>
      <c r="E24" s="110">
        <f>'PDC simplifié'!I22</f>
        <v>0</v>
      </c>
      <c r="F24" s="111">
        <f>'PDC simplifié'!J22</f>
        <v>0</v>
      </c>
      <c r="G24" s="112"/>
      <c r="H24" s="113">
        <f>'PDC simplifié'!L22</f>
        <v>0</v>
      </c>
      <c r="I24" s="132">
        <f>'PDC simplifié'!K22</f>
        <v>0</v>
      </c>
      <c r="J24" s="114"/>
      <c r="K24" s="114"/>
      <c r="L24" s="114"/>
      <c r="M24" s="132"/>
      <c r="N24" s="115">
        <f>'PDC simplifié'!M22</f>
        <v>0</v>
      </c>
      <c r="O24" s="116"/>
      <c r="P24" s="116"/>
      <c r="Q24" s="132"/>
      <c r="R24" s="116"/>
      <c r="S24" s="116"/>
      <c r="T24" s="117">
        <f>'PDC simplifié'!N22</f>
        <v>0</v>
      </c>
      <c r="U24" s="115">
        <f>'PDC simplifié'!O22</f>
        <v>0</v>
      </c>
      <c r="V24" s="193">
        <f>'PDC simplifié'!D22</f>
        <v>0</v>
      </c>
      <c r="W24" s="118">
        <f>'PDC simplifié'!A22</f>
        <v>0</v>
      </c>
      <c r="X24" s="118">
        <f>'PDC simplifié'!B22</f>
        <v>0</v>
      </c>
      <c r="Y24" s="170">
        <f>'PDC simplifié'!C22</f>
        <v>0</v>
      </c>
      <c r="Z24" s="132"/>
      <c r="AA24" s="132"/>
      <c r="AB24" s="115">
        <f>'PDC simplifié'!P22</f>
        <v>0</v>
      </c>
      <c r="AC24" s="115">
        <f>'PDC simplifié'!Q22</f>
        <v>0</v>
      </c>
      <c r="AD24" s="115"/>
      <c r="AE24" s="115"/>
      <c r="AF24" s="115"/>
      <c r="AG24" s="119">
        <f>'PDC simplifié'!Q22</f>
        <v>0</v>
      </c>
      <c r="AH24" s="120">
        <f t="shared" si="1"/>
        <v>0</v>
      </c>
    </row>
    <row r="25" spans="1:34" s="91" customFormat="1">
      <c r="A25" s="108">
        <f>'PDC simplifié'!E23</f>
        <v>0</v>
      </c>
      <c r="B25" s="108">
        <f>'PDC simplifié'!F23</f>
        <v>0</v>
      </c>
      <c r="C25" s="109">
        <f>'PDC simplifié'!G23</f>
        <v>0</v>
      </c>
      <c r="D25" s="109">
        <f>'PDC simplifié'!H23</f>
        <v>0</v>
      </c>
      <c r="E25" s="110">
        <f>'PDC simplifié'!I23</f>
        <v>0</v>
      </c>
      <c r="F25" s="111">
        <f>'PDC simplifié'!J23</f>
        <v>0</v>
      </c>
      <c r="G25" s="112"/>
      <c r="H25" s="113">
        <f>'PDC simplifié'!L23</f>
        <v>0</v>
      </c>
      <c r="I25" s="132">
        <f>'PDC simplifié'!K23</f>
        <v>0</v>
      </c>
      <c r="J25" s="114"/>
      <c r="K25" s="114"/>
      <c r="L25" s="114"/>
      <c r="M25" s="132"/>
      <c r="N25" s="115">
        <f>'PDC simplifié'!M23</f>
        <v>0</v>
      </c>
      <c r="O25" s="116"/>
      <c r="P25" s="116"/>
      <c r="Q25" s="132"/>
      <c r="R25" s="116"/>
      <c r="S25" s="116"/>
      <c r="T25" s="117">
        <f>'PDC simplifié'!N23</f>
        <v>0</v>
      </c>
      <c r="U25" s="115">
        <f>'PDC simplifié'!O23</f>
        <v>0</v>
      </c>
      <c r="V25" s="193">
        <f>'PDC simplifié'!D23</f>
        <v>0</v>
      </c>
      <c r="W25" s="118">
        <f>'PDC simplifié'!A23</f>
        <v>0</v>
      </c>
      <c r="X25" s="118">
        <f>'PDC simplifié'!B23</f>
        <v>0</v>
      </c>
      <c r="Y25" s="170">
        <f>'PDC simplifié'!C23</f>
        <v>0</v>
      </c>
      <c r="Z25" s="132"/>
      <c r="AA25" s="132"/>
      <c r="AB25" s="115">
        <f>'PDC simplifié'!P23</f>
        <v>0</v>
      </c>
      <c r="AC25" s="115">
        <f>'PDC simplifié'!Q23</f>
        <v>0</v>
      </c>
      <c r="AD25" s="115"/>
      <c r="AE25" s="115"/>
      <c r="AF25" s="115"/>
      <c r="AG25" s="119">
        <f>'PDC simplifié'!Q23</f>
        <v>0</v>
      </c>
      <c r="AH25" s="120">
        <f t="shared" ref="AH25:AH33" si="2">SUM(AB25:AG25)</f>
        <v>0</v>
      </c>
    </row>
    <row r="26" spans="1:34" s="91" customFormat="1">
      <c r="A26" s="108">
        <f>'PDC simplifié'!E30</f>
        <v>0</v>
      </c>
      <c r="B26" s="108">
        <f>'PDC simplifié'!F30</f>
        <v>0</v>
      </c>
      <c r="C26" s="109">
        <f>'PDC simplifié'!G30</f>
        <v>0</v>
      </c>
      <c r="D26" s="109">
        <f>'PDC simplifié'!H30</f>
        <v>0</v>
      </c>
      <c r="E26" s="110">
        <f>'PDC simplifié'!I30</f>
        <v>0</v>
      </c>
      <c r="F26" s="111">
        <f>'PDC simplifié'!J30</f>
        <v>0</v>
      </c>
      <c r="G26" s="112"/>
      <c r="H26" s="113">
        <f>'PDC simplifié'!L30</f>
        <v>0</v>
      </c>
      <c r="I26" s="132">
        <f>'PDC simplifié'!K30</f>
        <v>0</v>
      </c>
      <c r="J26" s="114"/>
      <c r="K26" s="114"/>
      <c r="L26" s="114"/>
      <c r="M26" s="132"/>
      <c r="N26" s="115">
        <f>'PDC simplifié'!M30</f>
        <v>0</v>
      </c>
      <c r="O26" s="116"/>
      <c r="P26" s="116"/>
      <c r="Q26" s="132"/>
      <c r="R26" s="116"/>
      <c r="S26" s="116"/>
      <c r="T26" s="117">
        <f>'PDC simplifié'!N30</f>
        <v>0</v>
      </c>
      <c r="U26" s="115">
        <f>'PDC simplifié'!O30</f>
        <v>0</v>
      </c>
      <c r="V26" s="193">
        <f>'PDC simplifié'!D30</f>
        <v>0</v>
      </c>
      <c r="W26" s="118">
        <f>'PDC simplifié'!A30</f>
        <v>0</v>
      </c>
      <c r="X26" s="118">
        <f>'PDC simplifié'!B30</f>
        <v>0</v>
      </c>
      <c r="Y26" s="170">
        <f>'PDC simplifié'!C30</f>
        <v>0</v>
      </c>
      <c r="Z26" s="132"/>
      <c r="AA26" s="132"/>
      <c r="AB26" s="115">
        <f>'PDC simplifié'!P30</f>
        <v>0</v>
      </c>
      <c r="AC26" s="115">
        <f>'PDC simplifié'!Q30</f>
        <v>0</v>
      </c>
      <c r="AD26" s="115"/>
      <c r="AE26" s="115"/>
      <c r="AF26" s="115"/>
      <c r="AG26" s="119">
        <f>'PDC simplifié'!Q30</f>
        <v>0</v>
      </c>
      <c r="AH26" s="120">
        <f t="shared" si="2"/>
        <v>0</v>
      </c>
    </row>
    <row r="27" spans="1:34" s="91" customFormat="1">
      <c r="A27" s="108">
        <f>'PDC simplifié'!E31</f>
        <v>0</v>
      </c>
      <c r="B27" s="108">
        <f>'PDC simplifié'!F31</f>
        <v>0</v>
      </c>
      <c r="C27" s="109">
        <f>'PDC simplifié'!G31</f>
        <v>0</v>
      </c>
      <c r="D27" s="109">
        <f>'PDC simplifié'!H31</f>
        <v>0</v>
      </c>
      <c r="E27" s="110">
        <f>'PDC simplifié'!I31</f>
        <v>0</v>
      </c>
      <c r="F27" s="111">
        <f>'PDC simplifié'!J31</f>
        <v>0</v>
      </c>
      <c r="G27" s="112"/>
      <c r="H27" s="113">
        <f>'PDC simplifié'!L31</f>
        <v>0</v>
      </c>
      <c r="I27" s="132">
        <f>'PDC simplifié'!K31</f>
        <v>0</v>
      </c>
      <c r="J27" s="114"/>
      <c r="K27" s="114"/>
      <c r="L27" s="114"/>
      <c r="M27" s="132"/>
      <c r="N27" s="115">
        <f>'PDC simplifié'!M31</f>
        <v>0</v>
      </c>
      <c r="O27" s="116"/>
      <c r="P27" s="116"/>
      <c r="Q27" s="132"/>
      <c r="R27" s="116"/>
      <c r="S27" s="116"/>
      <c r="T27" s="117">
        <f>'PDC simplifié'!N31</f>
        <v>0</v>
      </c>
      <c r="U27" s="115" t="str">
        <f>'PDC simplifié'!O31</f>
        <v>Total :</v>
      </c>
      <c r="V27" s="193">
        <f>'PDC simplifié'!D31</f>
        <v>0</v>
      </c>
      <c r="W27" s="118">
        <f>'PDC simplifié'!A31</f>
        <v>0</v>
      </c>
      <c r="X27" s="118">
        <f>'PDC simplifié'!B31</f>
        <v>0</v>
      </c>
      <c r="Y27" s="170">
        <f>'PDC simplifié'!C31</f>
        <v>0</v>
      </c>
      <c r="Z27" s="132"/>
      <c r="AA27" s="132"/>
      <c r="AB27" s="115"/>
      <c r="AC27" s="115"/>
      <c r="AD27" s="115"/>
      <c r="AE27" s="115"/>
      <c r="AF27" s="115"/>
      <c r="AG27" s="119"/>
      <c r="AH27" s="120">
        <f t="shared" si="2"/>
        <v>0</v>
      </c>
    </row>
    <row r="28" spans="1:34" s="91" customFormat="1">
      <c r="A28" s="108">
        <f>'PDC simplifié'!E32</f>
        <v>0</v>
      </c>
      <c r="B28" s="108">
        <f>'PDC simplifié'!F32</f>
        <v>0</v>
      </c>
      <c r="C28" s="109">
        <f>'PDC simplifié'!G32</f>
        <v>0</v>
      </c>
      <c r="D28" s="109">
        <f>'PDC simplifié'!H32</f>
        <v>0</v>
      </c>
      <c r="E28" s="110">
        <f>'PDC simplifié'!I32</f>
        <v>0</v>
      </c>
      <c r="F28" s="111">
        <f>'PDC simplifié'!J32</f>
        <v>0</v>
      </c>
      <c r="G28" s="112"/>
      <c r="H28" s="113">
        <f>'PDC simplifié'!L32</f>
        <v>0</v>
      </c>
      <c r="I28" s="132">
        <f>'PDC simplifié'!K32</f>
        <v>0</v>
      </c>
      <c r="J28" s="114"/>
      <c r="K28" s="114"/>
      <c r="L28" s="114"/>
      <c r="M28" s="132"/>
      <c r="N28" s="115">
        <f>'PDC simplifié'!M32</f>
        <v>0</v>
      </c>
      <c r="O28" s="116"/>
      <c r="P28" s="116"/>
      <c r="Q28" s="132"/>
      <c r="R28" s="116"/>
      <c r="S28" s="116"/>
      <c r="T28" s="117">
        <f>'PDC simplifié'!N32</f>
        <v>0</v>
      </c>
      <c r="U28" s="115">
        <f>'PDC simplifié'!O32</f>
        <v>0</v>
      </c>
      <c r="V28" s="193">
        <f>'PDC simplifié'!D32</f>
        <v>0</v>
      </c>
      <c r="W28" s="118">
        <f>'PDC simplifié'!A32</f>
        <v>0</v>
      </c>
      <c r="X28" s="118">
        <f>'PDC simplifié'!B32</f>
        <v>0</v>
      </c>
      <c r="Y28" s="170">
        <f>'PDC simplifié'!C32</f>
        <v>0</v>
      </c>
      <c r="Z28" s="132"/>
      <c r="AA28" s="132"/>
      <c r="AB28" s="115">
        <f>'PDC simplifié'!P32</f>
        <v>0</v>
      </c>
      <c r="AC28" s="115">
        <f>'PDC simplifié'!Q32</f>
        <v>0</v>
      </c>
      <c r="AD28" s="115"/>
      <c r="AE28" s="115"/>
      <c r="AF28" s="115"/>
      <c r="AG28" s="119">
        <f>'PDC simplifié'!Q32</f>
        <v>0</v>
      </c>
      <c r="AH28" s="120">
        <f t="shared" si="2"/>
        <v>0</v>
      </c>
    </row>
    <row r="29" spans="1:34" s="91" customFormat="1">
      <c r="A29" s="108">
        <f>'PDC simplifié'!E33</f>
        <v>0</v>
      </c>
      <c r="B29" s="108">
        <f>'PDC simplifié'!F33</f>
        <v>0</v>
      </c>
      <c r="C29" s="109">
        <f>'PDC simplifié'!G33</f>
        <v>0</v>
      </c>
      <c r="D29" s="109">
        <f>'PDC simplifié'!H33</f>
        <v>0</v>
      </c>
      <c r="E29" s="110">
        <f>'PDC simplifié'!I33</f>
        <v>0</v>
      </c>
      <c r="F29" s="111">
        <f>'PDC simplifié'!J33</f>
        <v>0</v>
      </c>
      <c r="G29" s="112"/>
      <c r="H29" s="113">
        <f>'PDC simplifié'!L33</f>
        <v>0</v>
      </c>
      <c r="I29" s="132">
        <f>'PDC simplifié'!K33</f>
        <v>0</v>
      </c>
      <c r="J29" s="114"/>
      <c r="K29" s="114"/>
      <c r="L29" s="114"/>
      <c r="M29" s="132"/>
      <c r="N29" s="115">
        <f>'PDC simplifié'!M33</f>
        <v>0</v>
      </c>
      <c r="O29" s="116"/>
      <c r="P29" s="116"/>
      <c r="Q29" s="132"/>
      <c r="R29" s="116"/>
      <c r="S29" s="116"/>
      <c r="T29" s="117">
        <f>'PDC simplifié'!N33</f>
        <v>0</v>
      </c>
      <c r="U29" s="115">
        <f>'PDC simplifié'!O33</f>
        <v>0</v>
      </c>
      <c r="V29" s="193">
        <f>'PDC simplifié'!D33</f>
        <v>0</v>
      </c>
      <c r="W29" s="118">
        <f>'PDC simplifié'!A33</f>
        <v>0</v>
      </c>
      <c r="X29" s="118">
        <f>'PDC simplifié'!B33</f>
        <v>0</v>
      </c>
      <c r="Y29" s="170">
        <f>'PDC simplifié'!C33</f>
        <v>0</v>
      </c>
      <c r="Z29" s="132"/>
      <c r="AA29" s="132"/>
      <c r="AB29" s="115">
        <f>'PDC simplifié'!P33</f>
        <v>0</v>
      </c>
      <c r="AC29" s="115">
        <f>'PDC simplifié'!Q33</f>
        <v>0</v>
      </c>
      <c r="AD29" s="115"/>
      <c r="AE29" s="115"/>
      <c r="AF29" s="115"/>
      <c r="AG29" s="119">
        <f>'PDC simplifié'!Q33</f>
        <v>0</v>
      </c>
      <c r="AH29" s="120">
        <f t="shared" si="2"/>
        <v>0</v>
      </c>
    </row>
    <row r="30" spans="1:34" s="91" customFormat="1">
      <c r="A30" s="108">
        <f>'PDC simplifié'!E34</f>
        <v>0</v>
      </c>
      <c r="B30" s="108">
        <f>'PDC simplifié'!F34</f>
        <v>0</v>
      </c>
      <c r="C30" s="109">
        <f>'PDC simplifié'!G34</f>
        <v>0</v>
      </c>
      <c r="D30" s="109">
        <f>'PDC simplifié'!H34</f>
        <v>0</v>
      </c>
      <c r="E30" s="110">
        <f>'PDC simplifié'!I34</f>
        <v>0</v>
      </c>
      <c r="F30" s="111">
        <f>'PDC simplifié'!J34</f>
        <v>0</v>
      </c>
      <c r="G30" s="112"/>
      <c r="H30" s="113">
        <f>'PDC simplifié'!L34</f>
        <v>0</v>
      </c>
      <c r="I30" s="132">
        <f>'PDC simplifié'!K34</f>
        <v>0</v>
      </c>
      <c r="J30" s="114"/>
      <c r="K30" s="114"/>
      <c r="L30" s="114"/>
      <c r="M30" s="132"/>
      <c r="N30" s="115">
        <f>'PDC simplifié'!M34</f>
        <v>0</v>
      </c>
      <c r="O30" s="116"/>
      <c r="P30" s="116"/>
      <c r="Q30" s="132"/>
      <c r="R30" s="116"/>
      <c r="S30" s="116"/>
      <c r="T30" s="117">
        <f>'PDC simplifié'!N34</f>
        <v>0</v>
      </c>
      <c r="U30" s="115">
        <f>'PDC simplifié'!O34</f>
        <v>0</v>
      </c>
      <c r="V30" s="193">
        <f>'PDC simplifié'!D34</f>
        <v>0</v>
      </c>
      <c r="W30" s="118">
        <f>'PDC simplifié'!A34</f>
        <v>0</v>
      </c>
      <c r="X30" s="118">
        <f>'PDC simplifié'!B34</f>
        <v>0</v>
      </c>
      <c r="Y30" s="170">
        <f>'PDC simplifié'!C34</f>
        <v>0</v>
      </c>
      <c r="Z30" s="132"/>
      <c r="AA30" s="132"/>
      <c r="AB30" s="115">
        <f>'PDC simplifié'!P34</f>
        <v>0</v>
      </c>
      <c r="AC30" s="115">
        <f>'PDC simplifié'!Q34</f>
        <v>0</v>
      </c>
      <c r="AD30" s="115"/>
      <c r="AE30" s="115"/>
      <c r="AF30" s="115"/>
      <c r="AG30" s="119">
        <f>'PDC simplifié'!Q34</f>
        <v>0</v>
      </c>
      <c r="AH30" s="120">
        <f t="shared" si="2"/>
        <v>0</v>
      </c>
    </row>
    <row r="31" spans="1:34" s="91" customFormat="1">
      <c r="A31" s="108">
        <f>'PDC simplifié'!E35</f>
        <v>0</v>
      </c>
      <c r="B31" s="108">
        <f>'PDC simplifié'!F35</f>
        <v>0</v>
      </c>
      <c r="C31" s="109">
        <f>'PDC simplifié'!G35</f>
        <v>0</v>
      </c>
      <c r="D31" s="109">
        <f>'PDC simplifié'!H35</f>
        <v>0</v>
      </c>
      <c r="E31" s="110">
        <f>'PDC simplifié'!I35</f>
        <v>0</v>
      </c>
      <c r="F31" s="111">
        <f>'PDC simplifié'!J35</f>
        <v>0</v>
      </c>
      <c r="G31" s="112"/>
      <c r="H31" s="113">
        <f>'PDC simplifié'!L35</f>
        <v>0</v>
      </c>
      <c r="I31" s="132">
        <f>'PDC simplifié'!K35</f>
        <v>0</v>
      </c>
      <c r="J31" s="114"/>
      <c r="K31" s="114"/>
      <c r="L31" s="114"/>
      <c r="M31" s="132"/>
      <c r="N31" s="115">
        <f>'PDC simplifié'!M35</f>
        <v>0</v>
      </c>
      <c r="O31" s="116"/>
      <c r="P31" s="116"/>
      <c r="Q31" s="132"/>
      <c r="R31" s="116"/>
      <c r="S31" s="116"/>
      <c r="T31" s="117">
        <f>'PDC simplifié'!N35</f>
        <v>0</v>
      </c>
      <c r="U31" s="115">
        <f>'PDC simplifié'!O35</f>
        <v>0</v>
      </c>
      <c r="V31" s="193">
        <f>'PDC simplifié'!D35</f>
        <v>0</v>
      </c>
      <c r="W31" s="118">
        <f>'PDC simplifié'!A35</f>
        <v>0</v>
      </c>
      <c r="X31" s="118">
        <f>'PDC simplifié'!B35</f>
        <v>0</v>
      </c>
      <c r="Y31" s="170">
        <f>'PDC simplifié'!C35</f>
        <v>0</v>
      </c>
      <c r="Z31" s="132"/>
      <c r="AA31" s="132"/>
      <c r="AB31" s="115">
        <f>'PDC simplifié'!P35</f>
        <v>0</v>
      </c>
      <c r="AC31" s="115">
        <f>'PDC simplifié'!Q35</f>
        <v>0</v>
      </c>
      <c r="AD31" s="115"/>
      <c r="AE31" s="115"/>
      <c r="AF31" s="115"/>
      <c r="AG31" s="119">
        <f>'PDC simplifié'!Q35</f>
        <v>0</v>
      </c>
      <c r="AH31" s="120">
        <f t="shared" si="2"/>
        <v>0</v>
      </c>
    </row>
    <row r="32" spans="1:34" s="91" customFormat="1">
      <c r="A32" s="108">
        <f>'PDC simplifié'!E36</f>
        <v>0</v>
      </c>
      <c r="B32" s="108">
        <f>'PDC simplifié'!F36</f>
        <v>0</v>
      </c>
      <c r="C32" s="109">
        <f>'PDC simplifié'!G36</f>
        <v>0</v>
      </c>
      <c r="D32" s="109">
        <f>'PDC simplifié'!H36</f>
        <v>0</v>
      </c>
      <c r="E32" s="110">
        <f>'PDC simplifié'!I36</f>
        <v>0</v>
      </c>
      <c r="F32" s="111">
        <f>'PDC simplifié'!J36</f>
        <v>0</v>
      </c>
      <c r="G32" s="112"/>
      <c r="H32" s="113">
        <f>'PDC simplifié'!L36</f>
        <v>0</v>
      </c>
      <c r="I32" s="132">
        <f>'PDC simplifié'!K36</f>
        <v>0</v>
      </c>
      <c r="J32" s="114"/>
      <c r="K32" s="114"/>
      <c r="L32" s="114"/>
      <c r="M32" s="132"/>
      <c r="N32" s="115">
        <f>'PDC simplifié'!M36</f>
        <v>0</v>
      </c>
      <c r="O32" s="116"/>
      <c r="P32" s="116"/>
      <c r="Q32" s="132"/>
      <c r="R32" s="116"/>
      <c r="S32" s="116"/>
      <c r="T32" s="117">
        <f>'PDC simplifié'!N36</f>
        <v>0</v>
      </c>
      <c r="U32" s="115">
        <f>'PDC simplifié'!O36</f>
        <v>0</v>
      </c>
      <c r="V32" s="193">
        <f>'PDC simplifié'!D36</f>
        <v>0</v>
      </c>
      <c r="W32" s="118">
        <f>'PDC simplifié'!A36</f>
        <v>0</v>
      </c>
      <c r="X32" s="118">
        <f>'PDC simplifié'!B36</f>
        <v>0</v>
      </c>
      <c r="Y32" s="170">
        <f>'PDC simplifié'!C36</f>
        <v>0</v>
      </c>
      <c r="Z32" s="132"/>
      <c r="AA32" s="132"/>
      <c r="AB32" s="115">
        <f>'PDC simplifié'!P36</f>
        <v>0</v>
      </c>
      <c r="AC32" s="115">
        <f>'PDC simplifié'!Q36</f>
        <v>0</v>
      </c>
      <c r="AD32" s="115"/>
      <c r="AE32" s="115"/>
      <c r="AF32" s="115"/>
      <c r="AG32" s="119">
        <f>'PDC simplifié'!Q36</f>
        <v>0</v>
      </c>
      <c r="AH32" s="120">
        <f t="shared" si="2"/>
        <v>0</v>
      </c>
    </row>
    <row r="33" spans="1:34">
      <c r="A33" s="108">
        <f>'PDC simplifié'!E37</f>
        <v>0</v>
      </c>
      <c r="B33" s="108">
        <f>'PDC simplifié'!F37</f>
        <v>0</v>
      </c>
      <c r="C33" s="109">
        <f>'PDC simplifié'!G37</f>
        <v>0</v>
      </c>
      <c r="D33" s="109">
        <f>'PDC simplifié'!H37</f>
        <v>0</v>
      </c>
      <c r="E33" s="110">
        <f>'PDC simplifié'!I37</f>
        <v>0</v>
      </c>
      <c r="F33" s="111">
        <f>'PDC simplifié'!J37</f>
        <v>0</v>
      </c>
      <c r="G33" s="112"/>
      <c r="H33" s="113">
        <f>'PDC simplifié'!L37</f>
        <v>0</v>
      </c>
      <c r="I33" s="132">
        <f>'PDC simplifié'!K37</f>
        <v>0</v>
      </c>
      <c r="J33" s="114"/>
      <c r="K33" s="114"/>
      <c r="L33" s="114"/>
      <c r="M33" s="132"/>
      <c r="N33" s="115">
        <f>'PDC simplifié'!M37</f>
        <v>0</v>
      </c>
      <c r="O33" s="116"/>
      <c r="P33" s="116"/>
      <c r="Q33" s="132"/>
      <c r="R33" s="116"/>
      <c r="S33" s="116"/>
      <c r="T33" s="117">
        <f>'PDC simplifié'!N37</f>
        <v>0</v>
      </c>
      <c r="U33" s="115">
        <f>'PDC simplifié'!O37</f>
        <v>0</v>
      </c>
      <c r="V33" s="193">
        <f>'PDC simplifié'!D37</f>
        <v>0</v>
      </c>
      <c r="W33" s="118">
        <f>'PDC simplifié'!A37</f>
        <v>0</v>
      </c>
      <c r="X33" s="118">
        <f>'PDC simplifié'!B37</f>
        <v>0</v>
      </c>
      <c r="Y33" s="170">
        <f>'PDC simplifié'!C37</f>
        <v>0</v>
      </c>
      <c r="Z33" s="132"/>
      <c r="AA33" s="132"/>
      <c r="AB33" s="115">
        <f>'PDC simplifié'!P37</f>
        <v>0</v>
      </c>
      <c r="AC33" s="115">
        <f>'PDC simplifié'!Q37</f>
        <v>0</v>
      </c>
      <c r="AD33" s="115"/>
      <c r="AE33" s="115"/>
      <c r="AF33" s="115"/>
      <c r="AG33" s="119">
        <f>'PDC simplifié'!Q37</f>
        <v>0</v>
      </c>
      <c r="AH33" s="120">
        <f t="shared" si="2"/>
        <v>0</v>
      </c>
    </row>
    <row r="34" spans="1:34" s="91" customFormat="1" ht="23.25" customHeight="1" thickBot="1">
      <c r="A34" s="123"/>
      <c r="C34" s="122"/>
      <c r="D34" s="122"/>
      <c r="T34" s="122"/>
      <c r="Z34" s="122"/>
      <c r="AA34" s="122"/>
    </row>
    <row r="35" spans="1:34" ht="15" thickBot="1">
      <c r="A35" s="121"/>
      <c r="V35" s="91"/>
      <c r="AA35" s="133" t="s">
        <v>228</v>
      </c>
      <c r="AB35" s="124">
        <f t="shared" ref="AB35:AH35" si="3">SUM(AB14:AB24)</f>
        <v>195.75</v>
      </c>
      <c r="AC35" s="124">
        <f t="shared" si="3"/>
        <v>131.53</v>
      </c>
      <c r="AD35" s="124">
        <f t="shared" si="3"/>
        <v>8.5</v>
      </c>
      <c r="AE35" s="124">
        <f t="shared" si="3"/>
        <v>9.5</v>
      </c>
      <c r="AF35" s="124">
        <f t="shared" si="3"/>
        <v>22</v>
      </c>
      <c r="AG35" s="124">
        <f t="shared" si="3"/>
        <v>23</v>
      </c>
      <c r="AH35" s="125">
        <f t="shared" si="3"/>
        <v>390.28</v>
      </c>
    </row>
    <row r="36" spans="1:34">
      <c r="A36" s="121"/>
    </row>
    <row r="37" spans="1:34">
      <c r="A37" s="121"/>
    </row>
    <row r="38" spans="1:34">
      <c r="A38" s="121"/>
    </row>
    <row r="39" spans="1:34">
      <c r="A39" s="121"/>
    </row>
    <row r="40" spans="1:34">
      <c r="A40" s="121"/>
    </row>
    <row r="41" spans="1:34">
      <c r="A41" s="121"/>
    </row>
    <row r="42" spans="1:34">
      <c r="A42" s="121"/>
    </row>
    <row r="43" spans="1:34">
      <c r="A43" s="121"/>
    </row>
    <row r="44" spans="1:34">
      <c r="A44" s="121"/>
    </row>
    <row r="45" spans="1:34">
      <c r="A45" s="121"/>
    </row>
    <row r="46" spans="1:34">
      <c r="A46" s="121"/>
    </row>
    <row r="47" spans="1:34">
      <c r="A47" s="121"/>
    </row>
    <row r="48" spans="1:34">
      <c r="A48" s="121"/>
    </row>
    <row r="49" spans="1:1">
      <c r="A49" s="121"/>
    </row>
    <row r="50" spans="1:1">
      <c r="A50" s="121"/>
    </row>
    <row r="51" spans="1:1">
      <c r="A51" s="121"/>
    </row>
    <row r="52" spans="1:1">
      <c r="A52" s="121"/>
    </row>
    <row r="53" spans="1:1">
      <c r="A53" s="121"/>
    </row>
    <row r="54" spans="1:1">
      <c r="A54" s="121"/>
    </row>
    <row r="55" spans="1:1">
      <c r="A55" s="121"/>
    </row>
    <row r="56" spans="1:1">
      <c r="A56" s="121"/>
    </row>
    <row r="57" spans="1:1">
      <c r="A57" s="121"/>
    </row>
    <row r="58" spans="1:1">
      <c r="A58" s="121"/>
    </row>
    <row r="59" spans="1:1">
      <c r="A59" s="121"/>
    </row>
    <row r="60" spans="1:1">
      <c r="A60" s="121"/>
    </row>
    <row r="61" spans="1:1">
      <c r="A61" s="121"/>
    </row>
    <row r="62" spans="1:1">
      <c r="A62" s="121"/>
    </row>
    <row r="63" spans="1:1">
      <c r="A63" s="121"/>
    </row>
    <row r="64" spans="1:1">
      <c r="A64" s="121"/>
    </row>
    <row r="65" spans="1:1">
      <c r="A65" s="121"/>
    </row>
    <row r="66" spans="1:1">
      <c r="A66" s="121"/>
    </row>
    <row r="67" spans="1:1">
      <c r="A67" s="121"/>
    </row>
    <row r="68" spans="1:1">
      <c r="A68" s="121"/>
    </row>
    <row r="69" spans="1:1">
      <c r="A69" s="121"/>
    </row>
    <row r="70" spans="1:1">
      <c r="A70" s="121"/>
    </row>
    <row r="71" spans="1:1">
      <c r="A71" s="121"/>
    </row>
    <row r="72" spans="1:1">
      <c r="A72" s="121"/>
    </row>
    <row r="73" spans="1:1">
      <c r="A73" s="121"/>
    </row>
    <row r="74" spans="1:1">
      <c r="A74" s="121"/>
    </row>
    <row r="75" spans="1:1">
      <c r="A75" s="121"/>
    </row>
    <row r="76" spans="1:1">
      <c r="A76" s="121"/>
    </row>
    <row r="77" spans="1:1">
      <c r="A77" s="121"/>
    </row>
    <row r="78" spans="1:1">
      <c r="A78" s="121"/>
    </row>
    <row r="79" spans="1:1">
      <c r="A79" s="121"/>
    </row>
    <row r="80" spans="1:1">
      <c r="A80" s="121"/>
    </row>
    <row r="81" spans="1:1">
      <c r="A81" s="121"/>
    </row>
    <row r="82" spans="1:1">
      <c r="A82" s="121"/>
    </row>
    <row r="83" spans="1:1">
      <c r="A83" s="121"/>
    </row>
    <row r="84" spans="1:1">
      <c r="A84" s="121"/>
    </row>
    <row r="85" spans="1:1">
      <c r="A85" s="121"/>
    </row>
    <row r="86" spans="1:1">
      <c r="A86" s="121"/>
    </row>
    <row r="87" spans="1:1">
      <c r="A87" s="121"/>
    </row>
    <row r="88" spans="1:1">
      <c r="A88" s="121"/>
    </row>
    <row r="89" spans="1:1">
      <c r="A89" s="121"/>
    </row>
    <row r="90" spans="1:1">
      <c r="A90" s="121"/>
    </row>
    <row r="91" spans="1:1">
      <c r="A91" s="121"/>
    </row>
    <row r="92" spans="1:1">
      <c r="A92" s="121"/>
    </row>
    <row r="93" spans="1:1">
      <c r="A93" s="121"/>
    </row>
    <row r="94" spans="1:1">
      <c r="A94" s="121"/>
    </row>
    <row r="95" spans="1:1">
      <c r="A95" s="121"/>
    </row>
    <row r="96" spans="1:1">
      <c r="A96" s="121"/>
    </row>
    <row r="97" spans="1:1">
      <c r="A97" s="121"/>
    </row>
    <row r="98" spans="1:1">
      <c r="A98" s="121"/>
    </row>
    <row r="99" spans="1:1">
      <c r="A99" s="121"/>
    </row>
    <row r="100" spans="1:1">
      <c r="A100" s="121"/>
    </row>
    <row r="101" spans="1:1">
      <c r="A101" s="121"/>
    </row>
    <row r="102" spans="1:1">
      <c r="A102" s="121"/>
    </row>
    <row r="103" spans="1:1">
      <c r="A103" s="121"/>
    </row>
    <row r="104" spans="1:1">
      <c r="A104" s="121"/>
    </row>
    <row r="105" spans="1:1">
      <c r="A105" s="121"/>
    </row>
    <row r="106" spans="1:1">
      <c r="A106" s="121"/>
    </row>
    <row r="107" spans="1:1">
      <c r="A107" s="121"/>
    </row>
    <row r="108" spans="1:1">
      <c r="A108" s="121"/>
    </row>
    <row r="109" spans="1:1">
      <c r="A109" s="121"/>
    </row>
    <row r="110" spans="1:1">
      <c r="A110" s="121"/>
    </row>
    <row r="111" spans="1:1">
      <c r="A111" s="121"/>
    </row>
    <row r="112" spans="1:1">
      <c r="A112" s="121"/>
    </row>
    <row r="113" spans="1:1">
      <c r="A113" s="121"/>
    </row>
    <row r="114" spans="1:1">
      <c r="A114" s="121"/>
    </row>
    <row r="115" spans="1:1">
      <c r="A115" s="121"/>
    </row>
    <row r="116" spans="1:1">
      <c r="A116" s="121"/>
    </row>
    <row r="117" spans="1:1">
      <c r="A117" s="121"/>
    </row>
    <row r="118" spans="1:1">
      <c r="A118" s="121"/>
    </row>
    <row r="119" spans="1:1">
      <c r="A119" s="121"/>
    </row>
    <row r="120" spans="1:1">
      <c r="A120" s="121"/>
    </row>
    <row r="121" spans="1:1">
      <c r="A121" s="121"/>
    </row>
    <row r="122" spans="1:1">
      <c r="A122" s="121"/>
    </row>
    <row r="123" spans="1:1">
      <c r="A123" s="121"/>
    </row>
    <row r="124" spans="1:1">
      <c r="A124" s="121"/>
    </row>
    <row r="125" spans="1:1">
      <c r="A125" s="121"/>
    </row>
    <row r="126" spans="1:1">
      <c r="A126" s="121"/>
    </row>
    <row r="127" spans="1:1">
      <c r="A127" s="121"/>
    </row>
    <row r="128" spans="1:1">
      <c r="A128" s="121"/>
    </row>
    <row r="129" spans="1:1">
      <c r="A129" s="121"/>
    </row>
    <row r="130" spans="1:1">
      <c r="A130" s="121"/>
    </row>
    <row r="131" spans="1:1">
      <c r="A131" s="121"/>
    </row>
    <row r="132" spans="1:1">
      <c r="A132" s="121"/>
    </row>
    <row r="133" spans="1:1">
      <c r="A133" s="121"/>
    </row>
    <row r="134" spans="1:1">
      <c r="A134" s="121"/>
    </row>
    <row r="135" spans="1:1">
      <c r="A135" s="121"/>
    </row>
    <row r="136" spans="1:1">
      <c r="A136" s="121"/>
    </row>
    <row r="137" spans="1:1">
      <c r="A137" s="121"/>
    </row>
    <row r="138" spans="1:1">
      <c r="A138" s="121"/>
    </row>
    <row r="139" spans="1:1">
      <c r="A139" s="121"/>
    </row>
    <row r="140" spans="1:1">
      <c r="A140" s="121"/>
    </row>
    <row r="141" spans="1:1">
      <c r="A141" s="121"/>
    </row>
    <row r="142" spans="1:1">
      <c r="A142" s="121"/>
    </row>
    <row r="143" spans="1:1">
      <c r="A143" s="121"/>
    </row>
    <row r="144" spans="1:1">
      <c r="A144" s="121"/>
    </row>
    <row r="145" spans="1:1">
      <c r="A145" s="121"/>
    </row>
    <row r="146" spans="1:1">
      <c r="A146" s="121"/>
    </row>
    <row r="147" spans="1:1">
      <c r="A147" s="121"/>
    </row>
    <row r="148" spans="1:1">
      <c r="A148" s="121"/>
    </row>
    <row r="149" spans="1:1">
      <c r="A149" s="121"/>
    </row>
    <row r="150" spans="1:1">
      <c r="A150" s="121"/>
    </row>
    <row r="151" spans="1:1">
      <c r="A151" s="121"/>
    </row>
    <row r="152" spans="1:1">
      <c r="A152" s="121"/>
    </row>
    <row r="153" spans="1:1">
      <c r="A153" s="121"/>
    </row>
    <row r="154" spans="1:1">
      <c r="A154" s="121"/>
    </row>
    <row r="155" spans="1:1">
      <c r="A155" s="121"/>
    </row>
    <row r="156" spans="1:1">
      <c r="A156" s="121"/>
    </row>
    <row r="157" spans="1:1">
      <c r="A157" s="121"/>
    </row>
    <row r="158" spans="1:1">
      <c r="A158" s="121"/>
    </row>
    <row r="159" spans="1:1">
      <c r="A159" s="121"/>
    </row>
    <row r="160" spans="1:1">
      <c r="A160" s="121"/>
    </row>
    <row r="161" spans="1:1">
      <c r="A161" s="121"/>
    </row>
    <row r="162" spans="1:1">
      <c r="A162" s="121"/>
    </row>
    <row r="163" spans="1:1">
      <c r="A163" s="121"/>
    </row>
    <row r="164" spans="1:1">
      <c r="A164" s="121"/>
    </row>
    <row r="165" spans="1:1">
      <c r="A165" s="121"/>
    </row>
    <row r="166" spans="1:1">
      <c r="A166" s="121"/>
    </row>
    <row r="167" spans="1:1">
      <c r="A167" s="121"/>
    </row>
    <row r="168" spans="1:1">
      <c r="A168" s="121"/>
    </row>
    <row r="169" spans="1:1">
      <c r="A169" s="121"/>
    </row>
    <row r="170" spans="1:1">
      <c r="A170" s="121"/>
    </row>
    <row r="171" spans="1:1">
      <c r="A171" s="121"/>
    </row>
    <row r="172" spans="1:1">
      <c r="A172" s="121"/>
    </row>
    <row r="173" spans="1:1">
      <c r="A173" s="121"/>
    </row>
    <row r="174" spans="1:1">
      <c r="A174" s="121"/>
    </row>
    <row r="175" spans="1:1">
      <c r="A175" s="121"/>
    </row>
    <row r="176" spans="1:1">
      <c r="A176" s="121"/>
    </row>
    <row r="177" spans="1:1">
      <c r="A177" s="121"/>
    </row>
    <row r="178" spans="1:1">
      <c r="A178" s="121"/>
    </row>
    <row r="179" spans="1:1">
      <c r="A179" s="121"/>
    </row>
    <row r="180" spans="1:1">
      <c r="A180" s="121"/>
    </row>
    <row r="181" spans="1:1">
      <c r="A181" s="121"/>
    </row>
    <row r="182" spans="1:1">
      <c r="A182" s="121"/>
    </row>
    <row r="183" spans="1:1">
      <c r="A183" s="121"/>
    </row>
    <row r="184" spans="1:1">
      <c r="A184" s="121"/>
    </row>
    <row r="185" spans="1:1">
      <c r="A185" s="121"/>
    </row>
    <row r="186" spans="1:1">
      <c r="A186" s="121"/>
    </row>
    <row r="187" spans="1:1">
      <c r="A187" s="121"/>
    </row>
    <row r="188" spans="1:1">
      <c r="A188" s="121"/>
    </row>
    <row r="189" spans="1:1">
      <c r="A189" s="121"/>
    </row>
    <row r="190" spans="1:1">
      <c r="A190" s="121"/>
    </row>
    <row r="191" spans="1:1">
      <c r="A191" s="121"/>
    </row>
    <row r="192" spans="1:1">
      <c r="A192" s="121"/>
    </row>
    <row r="193" spans="1:1">
      <c r="A193" s="121"/>
    </row>
    <row r="194" spans="1:1">
      <c r="A194" s="121"/>
    </row>
    <row r="195" spans="1:1">
      <c r="A195" s="121"/>
    </row>
    <row r="196" spans="1:1">
      <c r="A196" s="121"/>
    </row>
    <row r="197" spans="1:1">
      <c r="A197" s="121"/>
    </row>
    <row r="198" spans="1:1">
      <c r="A198" s="121"/>
    </row>
    <row r="199" spans="1:1">
      <c r="A199" s="121"/>
    </row>
    <row r="200" spans="1:1">
      <c r="A200" s="121"/>
    </row>
    <row r="201" spans="1:1">
      <c r="A201" s="121"/>
    </row>
    <row r="202" spans="1:1">
      <c r="A202" s="121"/>
    </row>
    <row r="203" spans="1:1">
      <c r="A203" s="121"/>
    </row>
    <row r="204" spans="1:1">
      <c r="A204" s="121"/>
    </row>
    <row r="205" spans="1:1">
      <c r="A205" s="121"/>
    </row>
    <row r="206" spans="1:1">
      <c r="A206" s="121"/>
    </row>
    <row r="207" spans="1:1">
      <c r="A207" s="121"/>
    </row>
    <row r="208" spans="1:1">
      <c r="A208" s="121"/>
    </row>
    <row r="209" spans="1:1">
      <c r="A209" s="121"/>
    </row>
    <row r="210" spans="1:1">
      <c r="A210" s="121"/>
    </row>
    <row r="211" spans="1:1">
      <c r="A211" s="121"/>
    </row>
    <row r="212" spans="1:1">
      <c r="A212" s="121"/>
    </row>
    <row r="213" spans="1:1">
      <c r="A213" s="121"/>
    </row>
    <row r="214" spans="1:1">
      <c r="A214" s="121"/>
    </row>
    <row r="215" spans="1:1">
      <c r="A215" s="121"/>
    </row>
    <row r="216" spans="1:1">
      <c r="A216" s="121"/>
    </row>
    <row r="217" spans="1:1">
      <c r="A217" s="121"/>
    </row>
    <row r="218" spans="1:1">
      <c r="A218" s="121"/>
    </row>
    <row r="219" spans="1:1">
      <c r="A219" s="121"/>
    </row>
    <row r="220" spans="1:1">
      <c r="A220" s="121"/>
    </row>
    <row r="221" spans="1:1">
      <c r="A221" s="121"/>
    </row>
    <row r="222" spans="1:1">
      <c r="A222" s="121"/>
    </row>
    <row r="223" spans="1:1">
      <c r="A223" s="121"/>
    </row>
    <row r="224" spans="1:1">
      <c r="A224" s="121"/>
    </row>
    <row r="225" spans="1:1">
      <c r="A225" s="121"/>
    </row>
    <row r="226" spans="1:1">
      <c r="A226" s="121"/>
    </row>
    <row r="227" spans="1:1">
      <c r="A227" s="121"/>
    </row>
    <row r="228" spans="1:1">
      <c r="A228" s="121"/>
    </row>
    <row r="229" spans="1:1">
      <c r="A229" s="121"/>
    </row>
    <row r="230" spans="1:1">
      <c r="A230" s="121"/>
    </row>
    <row r="231" spans="1:1">
      <c r="A231" s="121"/>
    </row>
    <row r="232" spans="1:1">
      <c r="A232" s="121"/>
    </row>
    <row r="233" spans="1:1">
      <c r="A233" s="121"/>
    </row>
    <row r="234" spans="1:1">
      <c r="A234" s="121"/>
    </row>
    <row r="235" spans="1:1">
      <c r="A235" s="121"/>
    </row>
    <row r="236" spans="1:1">
      <c r="A236" s="121"/>
    </row>
    <row r="237" spans="1:1">
      <c r="A237" s="121"/>
    </row>
    <row r="238" spans="1:1">
      <c r="A238" s="121"/>
    </row>
    <row r="239" spans="1:1">
      <c r="A239" s="121"/>
    </row>
    <row r="240" spans="1:1">
      <c r="A240" s="121"/>
    </row>
    <row r="241" spans="1:1">
      <c r="A241" s="121"/>
    </row>
    <row r="242" spans="1:1">
      <c r="A242" s="121"/>
    </row>
    <row r="243" spans="1:1">
      <c r="A243" s="121"/>
    </row>
    <row r="244" spans="1:1">
      <c r="A244" s="121"/>
    </row>
    <row r="245" spans="1:1">
      <c r="A245" s="121"/>
    </row>
    <row r="246" spans="1:1">
      <c r="A246" s="121"/>
    </row>
    <row r="247" spans="1:1">
      <c r="A247" s="121"/>
    </row>
    <row r="248" spans="1:1">
      <c r="A248" s="121"/>
    </row>
    <row r="249" spans="1:1">
      <c r="A249" s="121"/>
    </row>
    <row r="250" spans="1:1">
      <c r="A250" s="121"/>
    </row>
    <row r="251" spans="1:1">
      <c r="A251" s="121"/>
    </row>
    <row r="252" spans="1:1">
      <c r="A252" s="121"/>
    </row>
    <row r="253" spans="1:1">
      <c r="A253" s="121"/>
    </row>
    <row r="254" spans="1:1">
      <c r="A254" s="121"/>
    </row>
    <row r="255" spans="1:1">
      <c r="A255" s="121"/>
    </row>
    <row r="256" spans="1:1">
      <c r="A256" s="121"/>
    </row>
    <row r="257" spans="1:1">
      <c r="A257" s="121"/>
    </row>
    <row r="258" spans="1:1">
      <c r="A258" s="121"/>
    </row>
    <row r="259" spans="1:1">
      <c r="A259" s="121"/>
    </row>
    <row r="260" spans="1:1">
      <c r="A260" s="121"/>
    </row>
    <row r="261" spans="1:1">
      <c r="A261" s="121"/>
    </row>
    <row r="262" spans="1:1">
      <c r="A262" s="121"/>
    </row>
    <row r="263" spans="1:1">
      <c r="A263" s="121"/>
    </row>
    <row r="264" spans="1:1">
      <c r="A264" s="121"/>
    </row>
    <row r="265" spans="1:1">
      <c r="A265" s="121"/>
    </row>
    <row r="266" spans="1:1">
      <c r="A266" s="121"/>
    </row>
    <row r="267" spans="1:1">
      <c r="A267" s="121"/>
    </row>
    <row r="268" spans="1:1">
      <c r="A268" s="121"/>
    </row>
    <row r="269" spans="1:1">
      <c r="A269" s="121"/>
    </row>
    <row r="270" spans="1:1">
      <c r="A270" s="121"/>
    </row>
    <row r="271" spans="1:1">
      <c r="A271" s="121"/>
    </row>
    <row r="272" spans="1:1">
      <c r="A272" s="121"/>
    </row>
    <row r="273" spans="1:1">
      <c r="A273" s="121"/>
    </row>
    <row r="274" spans="1:1">
      <c r="A274" s="121"/>
    </row>
    <row r="275" spans="1:1">
      <c r="A275" s="121"/>
    </row>
    <row r="276" spans="1:1">
      <c r="A276" s="121"/>
    </row>
    <row r="277" spans="1:1">
      <c r="A277" s="121"/>
    </row>
    <row r="278" spans="1:1">
      <c r="A278" s="121"/>
    </row>
    <row r="279" spans="1:1">
      <c r="A279" s="121"/>
    </row>
    <row r="280" spans="1:1">
      <c r="A280" s="121"/>
    </row>
    <row r="281" spans="1:1">
      <c r="A281" s="121"/>
    </row>
    <row r="282" spans="1:1">
      <c r="A282" s="121"/>
    </row>
    <row r="283" spans="1:1">
      <c r="A283" s="121"/>
    </row>
    <row r="284" spans="1:1">
      <c r="A284" s="121"/>
    </row>
    <row r="285" spans="1:1">
      <c r="A285" s="121"/>
    </row>
    <row r="286" spans="1:1">
      <c r="A286" s="121"/>
    </row>
    <row r="287" spans="1:1">
      <c r="A287" s="121"/>
    </row>
    <row r="288" spans="1:1">
      <c r="A288" s="121"/>
    </row>
    <row r="289" spans="1:1">
      <c r="A289" s="121"/>
    </row>
    <row r="290" spans="1:1">
      <c r="A290" s="121"/>
    </row>
    <row r="291" spans="1:1">
      <c r="A291" s="121"/>
    </row>
    <row r="292" spans="1:1">
      <c r="A292" s="121"/>
    </row>
    <row r="293" spans="1:1">
      <c r="A293" s="121"/>
    </row>
    <row r="294" spans="1:1">
      <c r="A294" s="121"/>
    </row>
    <row r="295" spans="1:1">
      <c r="A295" s="121"/>
    </row>
    <row r="296" spans="1:1">
      <c r="A296" s="121"/>
    </row>
    <row r="297" spans="1:1">
      <c r="A297" s="121"/>
    </row>
    <row r="298" spans="1:1">
      <c r="A298" s="121"/>
    </row>
    <row r="299" spans="1:1">
      <c r="A299" s="121"/>
    </row>
    <row r="300" spans="1:1">
      <c r="A300" s="121"/>
    </row>
    <row r="301" spans="1:1">
      <c r="A301" s="121"/>
    </row>
    <row r="302" spans="1:1">
      <c r="A302" s="121"/>
    </row>
    <row r="303" spans="1:1">
      <c r="A303" s="121"/>
    </row>
    <row r="304" spans="1:1">
      <c r="A304" s="121"/>
    </row>
    <row r="305" spans="1:1">
      <c r="A305" s="121"/>
    </row>
    <row r="306" spans="1:1">
      <c r="A306" s="121"/>
    </row>
    <row r="307" spans="1:1">
      <c r="A307" s="121"/>
    </row>
    <row r="308" spans="1:1">
      <c r="A308" s="121"/>
    </row>
    <row r="309" spans="1:1">
      <c r="A309" s="121"/>
    </row>
    <row r="310" spans="1:1">
      <c r="A310" s="121"/>
    </row>
    <row r="311" spans="1:1">
      <c r="A311" s="121"/>
    </row>
    <row r="312" spans="1:1">
      <c r="A312" s="121"/>
    </row>
    <row r="313" spans="1:1">
      <c r="A313" s="121"/>
    </row>
    <row r="314" spans="1:1">
      <c r="A314" s="121"/>
    </row>
    <row r="315" spans="1:1">
      <c r="A315" s="121"/>
    </row>
    <row r="316" spans="1:1">
      <c r="A316" s="121"/>
    </row>
    <row r="317" spans="1:1">
      <c r="A317" s="121"/>
    </row>
    <row r="318" spans="1:1">
      <c r="A318" s="121"/>
    </row>
    <row r="319" spans="1:1">
      <c r="A319" s="121"/>
    </row>
    <row r="320" spans="1:1">
      <c r="A320" s="121"/>
    </row>
    <row r="321" spans="1:1">
      <c r="A321" s="121"/>
    </row>
    <row r="322" spans="1:1">
      <c r="A322" s="121"/>
    </row>
    <row r="323" spans="1:1">
      <c r="A323" s="121"/>
    </row>
    <row r="324" spans="1:1">
      <c r="A324" s="121"/>
    </row>
    <row r="325" spans="1:1">
      <c r="A325" s="121"/>
    </row>
    <row r="326" spans="1:1">
      <c r="A326" s="121"/>
    </row>
    <row r="327" spans="1:1">
      <c r="A327" s="121"/>
    </row>
    <row r="328" spans="1:1">
      <c r="A328" s="121"/>
    </row>
    <row r="329" spans="1:1">
      <c r="A329" s="121"/>
    </row>
    <row r="330" spans="1:1">
      <c r="A330" s="121"/>
    </row>
    <row r="331" spans="1:1">
      <c r="A331" s="121"/>
    </row>
    <row r="332" spans="1:1">
      <c r="A332" s="121"/>
    </row>
    <row r="333" spans="1:1">
      <c r="A333" s="121"/>
    </row>
    <row r="334" spans="1:1">
      <c r="A334" s="121"/>
    </row>
    <row r="335" spans="1:1">
      <c r="A335" s="121"/>
    </row>
    <row r="336" spans="1:1">
      <c r="A336" s="121"/>
    </row>
    <row r="337" spans="1:1">
      <c r="A337" s="121"/>
    </row>
    <row r="338" spans="1:1">
      <c r="A338" s="121"/>
    </row>
    <row r="339" spans="1:1">
      <c r="A339" s="121"/>
    </row>
    <row r="340" spans="1:1">
      <c r="A340" s="121"/>
    </row>
    <row r="341" spans="1:1">
      <c r="A341" s="121"/>
    </row>
    <row r="342" spans="1:1">
      <c r="A342" s="121"/>
    </row>
    <row r="343" spans="1:1">
      <c r="A343" s="121"/>
    </row>
    <row r="344" spans="1:1">
      <c r="A344" s="121"/>
    </row>
    <row r="345" spans="1:1">
      <c r="A345" s="121"/>
    </row>
    <row r="346" spans="1:1">
      <c r="A346" s="121"/>
    </row>
    <row r="347" spans="1:1">
      <c r="A347" s="121"/>
    </row>
    <row r="348" spans="1:1">
      <c r="A348" s="121"/>
    </row>
    <row r="349" spans="1:1">
      <c r="A349" s="121"/>
    </row>
    <row r="350" spans="1:1">
      <c r="A350" s="121"/>
    </row>
    <row r="351" spans="1:1">
      <c r="A351" s="121"/>
    </row>
    <row r="352" spans="1:1">
      <c r="A352" s="121"/>
    </row>
    <row r="353" spans="1:1">
      <c r="A353" s="121"/>
    </row>
    <row r="354" spans="1:1">
      <c r="A354" s="121"/>
    </row>
    <row r="355" spans="1:1">
      <c r="A355" s="121"/>
    </row>
    <row r="356" spans="1:1">
      <c r="A356" s="121"/>
    </row>
    <row r="357" spans="1:1">
      <c r="A357" s="121"/>
    </row>
    <row r="358" spans="1:1">
      <c r="A358" s="121"/>
    </row>
    <row r="359" spans="1:1">
      <c r="A359" s="121"/>
    </row>
    <row r="360" spans="1:1">
      <c r="A360" s="121"/>
    </row>
    <row r="361" spans="1:1">
      <c r="A361" s="121"/>
    </row>
    <row r="362" spans="1:1">
      <c r="A362" s="121"/>
    </row>
    <row r="363" spans="1:1">
      <c r="A363" s="121"/>
    </row>
    <row r="364" spans="1:1">
      <c r="A364" s="121"/>
    </row>
    <row r="365" spans="1:1">
      <c r="A365" s="121"/>
    </row>
    <row r="366" spans="1:1">
      <c r="A366" s="121"/>
    </row>
    <row r="367" spans="1:1">
      <c r="A367" s="121"/>
    </row>
    <row r="368" spans="1:1">
      <c r="A368" s="121"/>
    </row>
    <row r="369" spans="1:1">
      <c r="A369" s="121"/>
    </row>
    <row r="370" spans="1:1">
      <c r="A370" s="121"/>
    </row>
    <row r="371" spans="1:1">
      <c r="A371" s="121"/>
    </row>
    <row r="372" spans="1:1">
      <c r="A372" s="121"/>
    </row>
    <row r="373" spans="1:1">
      <c r="A373" s="121"/>
    </row>
    <row r="374" spans="1:1">
      <c r="A374" s="121"/>
    </row>
    <row r="375" spans="1:1">
      <c r="A375" s="121"/>
    </row>
    <row r="376" spans="1:1">
      <c r="A376" s="121"/>
    </row>
    <row r="377" spans="1:1">
      <c r="A377" s="121"/>
    </row>
    <row r="378" spans="1:1">
      <c r="A378" s="121"/>
    </row>
    <row r="379" spans="1:1">
      <c r="A379" s="121"/>
    </row>
    <row r="380" spans="1:1">
      <c r="A380" s="121"/>
    </row>
    <row r="381" spans="1:1">
      <c r="A381" s="121"/>
    </row>
    <row r="382" spans="1:1">
      <c r="A382" s="121"/>
    </row>
    <row r="383" spans="1:1">
      <c r="A383" s="121"/>
    </row>
    <row r="384" spans="1:1">
      <c r="A384" s="121"/>
    </row>
    <row r="385" spans="1:1">
      <c r="A385" s="121"/>
    </row>
    <row r="386" spans="1:1">
      <c r="A386" s="121"/>
    </row>
    <row r="387" spans="1:1">
      <c r="A387" s="121"/>
    </row>
    <row r="388" spans="1:1">
      <c r="A388" s="121"/>
    </row>
    <row r="389" spans="1:1">
      <c r="A389" s="121"/>
    </row>
    <row r="390" spans="1:1">
      <c r="A390" s="121"/>
    </row>
    <row r="391" spans="1:1">
      <c r="A391" s="121"/>
    </row>
    <row r="392" spans="1:1">
      <c r="A392" s="121"/>
    </row>
    <row r="393" spans="1:1">
      <c r="A393" s="121"/>
    </row>
    <row r="394" spans="1:1">
      <c r="A394" s="121"/>
    </row>
    <row r="395" spans="1:1">
      <c r="A395" s="121"/>
    </row>
    <row r="396" spans="1:1">
      <c r="A396" s="121"/>
    </row>
    <row r="397" spans="1:1">
      <c r="A397" s="121"/>
    </row>
    <row r="398" spans="1:1">
      <c r="A398" s="121"/>
    </row>
    <row r="399" spans="1:1">
      <c r="A399" s="121"/>
    </row>
    <row r="400" spans="1:1">
      <c r="A400" s="121"/>
    </row>
    <row r="401" spans="1:1">
      <c r="A401" s="121"/>
    </row>
    <row r="402" spans="1:1">
      <c r="A402" s="121"/>
    </row>
    <row r="403" spans="1:1">
      <c r="A403" s="121"/>
    </row>
    <row r="404" spans="1:1">
      <c r="A404" s="121"/>
    </row>
    <row r="405" spans="1:1">
      <c r="A405" s="121"/>
    </row>
    <row r="406" spans="1:1">
      <c r="A406" s="121"/>
    </row>
    <row r="407" spans="1:1">
      <c r="A407" s="121"/>
    </row>
    <row r="408" spans="1:1">
      <c r="A408" s="121"/>
    </row>
    <row r="409" spans="1:1">
      <c r="A409" s="121"/>
    </row>
    <row r="410" spans="1:1">
      <c r="A410" s="121"/>
    </row>
    <row r="411" spans="1:1">
      <c r="A411" s="121"/>
    </row>
    <row r="412" spans="1:1">
      <c r="A412" s="121"/>
    </row>
    <row r="413" spans="1:1">
      <c r="A413" s="121"/>
    </row>
    <row r="414" spans="1:1">
      <c r="A414" s="121"/>
    </row>
    <row r="415" spans="1:1">
      <c r="A415" s="121"/>
    </row>
    <row r="416" spans="1:1">
      <c r="A416" s="121"/>
    </row>
    <row r="417" spans="1:1">
      <c r="A417" s="121"/>
    </row>
    <row r="418" spans="1:1">
      <c r="A418" s="121"/>
    </row>
    <row r="419" spans="1:1">
      <c r="A419" s="121"/>
    </row>
    <row r="420" spans="1:1">
      <c r="A420" s="121"/>
    </row>
    <row r="421" spans="1:1">
      <c r="A421" s="121"/>
    </row>
    <row r="422" spans="1:1">
      <c r="A422" s="121"/>
    </row>
    <row r="423" spans="1:1">
      <c r="A423" s="121"/>
    </row>
    <row r="424" spans="1:1">
      <c r="A424" s="121"/>
    </row>
    <row r="425" spans="1:1">
      <c r="A425" s="121"/>
    </row>
    <row r="426" spans="1:1">
      <c r="A426" s="121"/>
    </row>
    <row r="427" spans="1:1">
      <c r="A427" s="121"/>
    </row>
    <row r="428" spans="1:1">
      <c r="A428" s="121"/>
    </row>
    <row r="429" spans="1:1">
      <c r="A429" s="121"/>
    </row>
    <row r="430" spans="1:1">
      <c r="A430" s="121"/>
    </row>
    <row r="431" spans="1:1">
      <c r="A431" s="121"/>
    </row>
    <row r="432" spans="1:1">
      <c r="A432" s="121"/>
    </row>
    <row r="433" spans="1:1">
      <c r="A433" s="121"/>
    </row>
    <row r="434" spans="1:1">
      <c r="A434" s="121"/>
    </row>
    <row r="435" spans="1:1">
      <c r="A435" s="121"/>
    </row>
    <row r="436" spans="1:1">
      <c r="A436" s="121"/>
    </row>
    <row r="437" spans="1:1">
      <c r="A437" s="121"/>
    </row>
    <row r="438" spans="1:1">
      <c r="A438" s="121"/>
    </row>
    <row r="439" spans="1:1">
      <c r="A439" s="121"/>
    </row>
    <row r="440" spans="1:1">
      <c r="A440" s="121"/>
    </row>
    <row r="441" spans="1:1">
      <c r="A441" s="121"/>
    </row>
    <row r="442" spans="1:1">
      <c r="A442" s="121"/>
    </row>
    <row r="443" spans="1:1">
      <c r="A443" s="121"/>
    </row>
    <row r="444" spans="1:1">
      <c r="A444" s="121"/>
    </row>
    <row r="445" spans="1:1">
      <c r="A445" s="121"/>
    </row>
    <row r="446" spans="1:1">
      <c r="A446" s="121"/>
    </row>
    <row r="447" spans="1:1">
      <c r="A447" s="121"/>
    </row>
    <row r="448" spans="1:1">
      <c r="A448" s="121"/>
    </row>
    <row r="449" spans="1:1">
      <c r="A449" s="121"/>
    </row>
    <row r="450" spans="1:1">
      <c r="A450" s="121"/>
    </row>
    <row r="451" spans="1:1">
      <c r="A451" s="121"/>
    </row>
    <row r="452" spans="1:1">
      <c r="A452" s="121"/>
    </row>
    <row r="453" spans="1:1">
      <c r="A453" s="121"/>
    </row>
    <row r="454" spans="1:1">
      <c r="A454" s="121"/>
    </row>
    <row r="455" spans="1:1">
      <c r="A455" s="121"/>
    </row>
    <row r="456" spans="1:1">
      <c r="A456" s="121"/>
    </row>
    <row r="457" spans="1:1">
      <c r="A457" s="121"/>
    </row>
    <row r="458" spans="1:1">
      <c r="A458" s="121"/>
    </row>
    <row r="459" spans="1:1">
      <c r="A459" s="121"/>
    </row>
    <row r="460" spans="1:1">
      <c r="A460" s="121"/>
    </row>
    <row r="461" spans="1:1">
      <c r="A461" s="121"/>
    </row>
    <row r="462" spans="1:1">
      <c r="A462" s="121"/>
    </row>
    <row r="463" spans="1:1">
      <c r="A463" s="121"/>
    </row>
    <row r="464" spans="1:1">
      <c r="A464" s="121"/>
    </row>
    <row r="465" spans="1:1">
      <c r="A465" s="121"/>
    </row>
    <row r="466" spans="1:1">
      <c r="A466" s="121"/>
    </row>
    <row r="467" spans="1:1">
      <c r="A467" s="121"/>
    </row>
    <row r="468" spans="1:1">
      <c r="A468" s="121"/>
    </row>
    <row r="469" spans="1:1">
      <c r="A469" s="121"/>
    </row>
    <row r="470" spans="1:1">
      <c r="A470" s="121"/>
    </row>
    <row r="471" spans="1:1">
      <c r="A471" s="121"/>
    </row>
    <row r="472" spans="1:1">
      <c r="A472" s="121"/>
    </row>
    <row r="473" spans="1:1">
      <c r="A473" s="121"/>
    </row>
    <row r="474" spans="1:1">
      <c r="A474" s="121"/>
    </row>
    <row r="475" spans="1:1">
      <c r="A475" s="121"/>
    </row>
    <row r="476" spans="1:1">
      <c r="A476" s="121"/>
    </row>
    <row r="477" spans="1:1">
      <c r="A477" s="121"/>
    </row>
    <row r="478" spans="1:1">
      <c r="A478" s="121"/>
    </row>
    <row r="479" spans="1:1">
      <c r="A479" s="121"/>
    </row>
    <row r="480" spans="1:1">
      <c r="A480" s="121"/>
    </row>
    <row r="481" spans="1:1">
      <c r="A481" s="121"/>
    </row>
    <row r="482" spans="1:1">
      <c r="A482" s="121"/>
    </row>
    <row r="483" spans="1:1">
      <c r="A483" s="121"/>
    </row>
    <row r="484" spans="1:1">
      <c r="A484" s="121"/>
    </row>
    <row r="485" spans="1:1">
      <c r="A485" s="121"/>
    </row>
    <row r="486" spans="1:1">
      <c r="A486" s="121"/>
    </row>
    <row r="487" spans="1:1">
      <c r="A487" s="121"/>
    </row>
    <row r="488" spans="1:1">
      <c r="A488" s="121"/>
    </row>
    <row r="489" spans="1:1">
      <c r="A489" s="121"/>
    </row>
    <row r="490" spans="1:1">
      <c r="A490" s="121"/>
    </row>
    <row r="491" spans="1:1">
      <c r="A491" s="121"/>
    </row>
    <row r="492" spans="1:1">
      <c r="A492" s="121"/>
    </row>
    <row r="493" spans="1:1">
      <c r="A493" s="121"/>
    </row>
    <row r="494" spans="1:1">
      <c r="A494" s="121"/>
    </row>
    <row r="495" spans="1:1">
      <c r="A495" s="121"/>
    </row>
    <row r="496" spans="1:1">
      <c r="A496" s="121"/>
    </row>
    <row r="497" spans="1:1">
      <c r="A497" s="121"/>
    </row>
    <row r="498" spans="1:1">
      <c r="A498" s="121"/>
    </row>
    <row r="499" spans="1:1">
      <c r="A499" s="121"/>
    </row>
    <row r="500" spans="1:1">
      <c r="A500" s="121"/>
    </row>
    <row r="501" spans="1:1">
      <c r="A501" s="121"/>
    </row>
    <row r="502" spans="1:1">
      <c r="A502" s="121"/>
    </row>
    <row r="503" spans="1:1">
      <c r="A503" s="121"/>
    </row>
    <row r="504" spans="1:1">
      <c r="A504" s="121"/>
    </row>
    <row r="505" spans="1:1">
      <c r="A505" s="121"/>
    </row>
    <row r="506" spans="1:1">
      <c r="A506" s="121"/>
    </row>
    <row r="507" spans="1:1">
      <c r="A507" s="121"/>
    </row>
    <row r="508" spans="1:1">
      <c r="A508" s="121"/>
    </row>
    <row r="509" spans="1:1">
      <c r="A509" s="121"/>
    </row>
    <row r="510" spans="1:1">
      <c r="A510" s="121"/>
    </row>
    <row r="511" spans="1:1">
      <c r="A511" s="121"/>
    </row>
    <row r="512" spans="1:1">
      <c r="A512" s="121"/>
    </row>
    <row r="513" spans="1:1">
      <c r="A513" s="121"/>
    </row>
    <row r="514" spans="1:1">
      <c r="A514" s="121"/>
    </row>
    <row r="515" spans="1:1">
      <c r="A515" s="121"/>
    </row>
    <row r="516" spans="1:1">
      <c r="A516" s="121"/>
    </row>
    <row r="517" spans="1:1">
      <c r="A517" s="121"/>
    </row>
    <row r="518" spans="1:1">
      <c r="A518" s="121"/>
    </row>
    <row r="519" spans="1:1">
      <c r="A519" s="121"/>
    </row>
    <row r="520" spans="1:1">
      <c r="A520" s="121"/>
    </row>
    <row r="521" spans="1:1">
      <c r="A521" s="121"/>
    </row>
    <row r="522" spans="1:1">
      <c r="A522" s="121"/>
    </row>
    <row r="523" spans="1:1">
      <c r="A523" s="121"/>
    </row>
    <row r="524" spans="1:1">
      <c r="A524" s="121"/>
    </row>
    <row r="525" spans="1:1">
      <c r="A525" s="121"/>
    </row>
    <row r="526" spans="1:1">
      <c r="A526" s="121"/>
    </row>
    <row r="527" spans="1:1">
      <c r="A527" s="121"/>
    </row>
    <row r="528" spans="1:1">
      <c r="A528" s="121"/>
    </row>
    <row r="529" spans="1:1">
      <c r="A529" s="121"/>
    </row>
    <row r="530" spans="1:1">
      <c r="A530" s="121"/>
    </row>
    <row r="531" spans="1:1">
      <c r="A531" s="121"/>
    </row>
    <row r="532" spans="1:1">
      <c r="A532" s="121"/>
    </row>
    <row r="533" spans="1:1">
      <c r="A533" s="121"/>
    </row>
    <row r="534" spans="1:1">
      <c r="A534" s="121"/>
    </row>
    <row r="535" spans="1:1">
      <c r="A535" s="121"/>
    </row>
    <row r="536" spans="1:1">
      <c r="A536" s="121"/>
    </row>
    <row r="537" spans="1:1">
      <c r="A537" s="121"/>
    </row>
    <row r="538" spans="1:1">
      <c r="A538" s="121"/>
    </row>
    <row r="539" spans="1:1">
      <c r="A539" s="121"/>
    </row>
    <row r="540" spans="1:1">
      <c r="A540" s="121"/>
    </row>
    <row r="541" spans="1:1">
      <c r="A541" s="121"/>
    </row>
    <row r="542" spans="1:1">
      <c r="A542" s="121"/>
    </row>
    <row r="543" spans="1:1">
      <c r="A543" s="121"/>
    </row>
    <row r="544" spans="1:1">
      <c r="A544" s="121"/>
    </row>
    <row r="545" spans="1:1">
      <c r="A545" s="121"/>
    </row>
    <row r="546" spans="1:1">
      <c r="A546" s="121"/>
    </row>
    <row r="547" spans="1:1">
      <c r="A547" s="121"/>
    </row>
    <row r="548" spans="1:1">
      <c r="A548" s="121"/>
    </row>
    <row r="549" spans="1:1">
      <c r="A549" s="121"/>
    </row>
    <row r="550" spans="1:1">
      <c r="A550" s="121"/>
    </row>
    <row r="551" spans="1:1">
      <c r="A551" s="121"/>
    </row>
    <row r="552" spans="1:1">
      <c r="A552" s="121"/>
    </row>
    <row r="553" spans="1:1">
      <c r="A553" s="121"/>
    </row>
    <row r="554" spans="1:1">
      <c r="A554" s="121"/>
    </row>
    <row r="555" spans="1:1">
      <c r="A555" s="121"/>
    </row>
    <row r="556" spans="1:1">
      <c r="A556" s="121"/>
    </row>
    <row r="557" spans="1:1">
      <c r="A557" s="121"/>
    </row>
    <row r="558" spans="1:1">
      <c r="A558" s="121"/>
    </row>
    <row r="559" spans="1:1">
      <c r="A559" s="121"/>
    </row>
    <row r="560" spans="1:1">
      <c r="A560" s="121"/>
    </row>
    <row r="561" spans="1:1">
      <c r="A561" s="121"/>
    </row>
    <row r="562" spans="1:1">
      <c r="A562" s="121"/>
    </row>
    <row r="563" spans="1:1">
      <c r="A563" s="121"/>
    </row>
    <row r="564" spans="1:1">
      <c r="A564" s="121"/>
    </row>
    <row r="565" spans="1:1">
      <c r="A565" s="121"/>
    </row>
    <row r="566" spans="1:1">
      <c r="A566" s="121"/>
    </row>
    <row r="567" spans="1:1">
      <c r="A567" s="121"/>
    </row>
    <row r="568" spans="1:1">
      <c r="A568" s="121"/>
    </row>
    <row r="569" spans="1:1">
      <c r="A569" s="121"/>
    </row>
    <row r="570" spans="1:1">
      <c r="A570" s="121"/>
    </row>
    <row r="571" spans="1:1">
      <c r="A571" s="121"/>
    </row>
    <row r="572" spans="1:1">
      <c r="A572" s="121"/>
    </row>
    <row r="573" spans="1:1">
      <c r="A573" s="121"/>
    </row>
    <row r="574" spans="1:1">
      <c r="A574" s="121"/>
    </row>
    <row r="575" spans="1:1">
      <c r="A575" s="121"/>
    </row>
    <row r="576" spans="1:1">
      <c r="A576" s="121"/>
    </row>
    <row r="577" spans="1:1">
      <c r="A577" s="121"/>
    </row>
    <row r="578" spans="1:1">
      <c r="A578" s="121"/>
    </row>
    <row r="579" spans="1:1">
      <c r="A579" s="121"/>
    </row>
    <row r="580" spans="1:1">
      <c r="A580" s="121"/>
    </row>
    <row r="581" spans="1:1">
      <c r="A581" s="121"/>
    </row>
    <row r="582" spans="1:1">
      <c r="A582" s="121"/>
    </row>
    <row r="583" spans="1:1">
      <c r="A583" s="121"/>
    </row>
    <row r="584" spans="1:1">
      <c r="A584" s="121"/>
    </row>
    <row r="585" spans="1:1">
      <c r="A585" s="121"/>
    </row>
    <row r="586" spans="1:1">
      <c r="A586" s="121"/>
    </row>
    <row r="587" spans="1:1">
      <c r="A587" s="121"/>
    </row>
    <row r="588" spans="1:1">
      <c r="A588" s="121"/>
    </row>
    <row r="589" spans="1:1">
      <c r="A589" s="121"/>
    </row>
    <row r="590" spans="1:1">
      <c r="A590" s="121"/>
    </row>
    <row r="591" spans="1:1">
      <c r="A591" s="121"/>
    </row>
    <row r="592" spans="1:1">
      <c r="A592" s="121"/>
    </row>
    <row r="593" spans="1:1">
      <c r="A593" s="121"/>
    </row>
    <row r="594" spans="1:1">
      <c r="A594" s="121"/>
    </row>
    <row r="595" spans="1:1">
      <c r="A595" s="121"/>
    </row>
    <row r="596" spans="1:1">
      <c r="A596" s="121"/>
    </row>
    <row r="597" spans="1:1">
      <c r="A597" s="121"/>
    </row>
    <row r="598" spans="1:1">
      <c r="A598" s="121"/>
    </row>
    <row r="599" spans="1:1">
      <c r="A599" s="121"/>
    </row>
    <row r="600" spans="1:1">
      <c r="A600" s="121"/>
    </row>
    <row r="601" spans="1:1">
      <c r="A601" s="121"/>
    </row>
    <row r="602" spans="1:1">
      <c r="A602" s="121"/>
    </row>
    <row r="603" spans="1:1">
      <c r="A603" s="121"/>
    </row>
    <row r="604" spans="1:1">
      <c r="A604" s="121"/>
    </row>
    <row r="605" spans="1:1">
      <c r="A605" s="121"/>
    </row>
    <row r="606" spans="1:1">
      <c r="A606" s="121"/>
    </row>
    <row r="607" spans="1:1">
      <c r="A607" s="121"/>
    </row>
    <row r="608" spans="1:1">
      <c r="A608" s="121"/>
    </row>
    <row r="609" spans="1:1">
      <c r="A609" s="121"/>
    </row>
    <row r="610" spans="1:1">
      <c r="A610" s="121"/>
    </row>
    <row r="611" spans="1:1">
      <c r="A611" s="121"/>
    </row>
    <row r="612" spans="1:1">
      <c r="A612" s="121"/>
    </row>
    <row r="613" spans="1:1">
      <c r="A613" s="121"/>
    </row>
    <row r="614" spans="1:1">
      <c r="A614" s="121"/>
    </row>
    <row r="615" spans="1:1">
      <c r="A615" s="121"/>
    </row>
    <row r="616" spans="1:1">
      <c r="A616" s="121"/>
    </row>
    <row r="617" spans="1:1">
      <c r="A617" s="121"/>
    </row>
    <row r="618" spans="1:1">
      <c r="A618" s="121"/>
    </row>
    <row r="619" spans="1:1">
      <c r="A619" s="121"/>
    </row>
    <row r="620" spans="1:1">
      <c r="A620" s="121"/>
    </row>
    <row r="621" spans="1:1">
      <c r="A621" s="121"/>
    </row>
    <row r="622" spans="1:1">
      <c r="A622" s="121"/>
    </row>
    <row r="623" spans="1:1">
      <c r="A623" s="121"/>
    </row>
    <row r="624" spans="1:1">
      <c r="A624" s="121"/>
    </row>
    <row r="625" spans="1:1">
      <c r="A625" s="121"/>
    </row>
    <row r="626" spans="1:1">
      <c r="A626" s="121"/>
    </row>
    <row r="627" spans="1:1">
      <c r="A627" s="121"/>
    </row>
    <row r="628" spans="1:1">
      <c r="A628" s="121"/>
    </row>
    <row r="629" spans="1:1">
      <c r="A629" s="121"/>
    </row>
    <row r="630" spans="1:1">
      <c r="A630" s="121"/>
    </row>
    <row r="631" spans="1:1">
      <c r="A631" s="121"/>
    </row>
    <row r="632" spans="1:1">
      <c r="A632" s="121"/>
    </row>
    <row r="633" spans="1:1">
      <c r="A633" s="121"/>
    </row>
    <row r="634" spans="1:1">
      <c r="A634" s="121"/>
    </row>
    <row r="635" spans="1:1">
      <c r="A635" s="121"/>
    </row>
    <row r="636" spans="1:1">
      <c r="A636" s="121"/>
    </row>
    <row r="637" spans="1:1">
      <c r="A637" s="121"/>
    </row>
    <row r="638" spans="1:1">
      <c r="A638" s="121"/>
    </row>
    <row r="639" spans="1:1">
      <c r="A639" s="121"/>
    </row>
    <row r="640" spans="1:1">
      <c r="A640" s="121"/>
    </row>
    <row r="641" spans="1:1">
      <c r="A641" s="121"/>
    </row>
    <row r="642" spans="1:1">
      <c r="A642" s="121"/>
    </row>
    <row r="643" spans="1:1">
      <c r="A643" s="121"/>
    </row>
    <row r="644" spans="1:1">
      <c r="A644" s="121"/>
    </row>
    <row r="645" spans="1:1">
      <c r="A645" s="121"/>
    </row>
    <row r="646" spans="1:1">
      <c r="A646" s="121"/>
    </row>
    <row r="647" spans="1:1">
      <c r="A647" s="121"/>
    </row>
    <row r="648" spans="1:1">
      <c r="A648" s="121"/>
    </row>
    <row r="649" spans="1:1">
      <c r="A649" s="121"/>
    </row>
    <row r="650" spans="1:1">
      <c r="A650" s="121"/>
    </row>
    <row r="651" spans="1:1">
      <c r="A651" s="121"/>
    </row>
    <row r="652" spans="1:1">
      <c r="A652" s="121"/>
    </row>
    <row r="653" spans="1:1">
      <c r="A653" s="121"/>
    </row>
    <row r="654" spans="1:1">
      <c r="A654" s="121"/>
    </row>
    <row r="655" spans="1:1">
      <c r="A655" s="121"/>
    </row>
    <row r="656" spans="1:1">
      <c r="A656" s="121"/>
    </row>
    <row r="657" spans="1:1">
      <c r="A657" s="121"/>
    </row>
    <row r="658" spans="1:1">
      <c r="A658" s="121"/>
    </row>
    <row r="659" spans="1:1">
      <c r="A659" s="121"/>
    </row>
    <row r="660" spans="1:1">
      <c r="A660" s="121"/>
    </row>
    <row r="661" spans="1:1">
      <c r="A661" s="121"/>
    </row>
    <row r="662" spans="1:1">
      <c r="A662" s="121"/>
    </row>
    <row r="663" spans="1:1">
      <c r="A663" s="121"/>
    </row>
    <row r="664" spans="1:1">
      <c r="A664" s="121"/>
    </row>
    <row r="665" spans="1:1">
      <c r="A665" s="121"/>
    </row>
    <row r="666" spans="1:1">
      <c r="A666" s="121"/>
    </row>
    <row r="667" spans="1:1">
      <c r="A667" s="121"/>
    </row>
    <row r="668" spans="1:1">
      <c r="A668" s="121"/>
    </row>
    <row r="669" spans="1:1">
      <c r="A669" s="121"/>
    </row>
    <row r="670" spans="1:1">
      <c r="A670" s="121"/>
    </row>
    <row r="671" spans="1:1">
      <c r="A671" s="121"/>
    </row>
    <row r="672" spans="1:1">
      <c r="A672" s="121"/>
    </row>
    <row r="673" spans="1:1">
      <c r="A673" s="121"/>
    </row>
    <row r="674" spans="1:1">
      <c r="A674" s="121"/>
    </row>
    <row r="675" spans="1:1">
      <c r="A675" s="121"/>
    </row>
    <row r="676" spans="1:1">
      <c r="A676" s="121"/>
    </row>
    <row r="677" spans="1:1">
      <c r="A677" s="121"/>
    </row>
    <row r="678" spans="1:1">
      <c r="A678" s="121"/>
    </row>
    <row r="679" spans="1:1">
      <c r="A679" s="121"/>
    </row>
    <row r="680" spans="1:1">
      <c r="A680" s="121"/>
    </row>
    <row r="681" spans="1:1">
      <c r="A681" s="121"/>
    </row>
    <row r="682" spans="1:1">
      <c r="A682" s="121"/>
    </row>
    <row r="683" spans="1:1">
      <c r="A683" s="121"/>
    </row>
    <row r="684" spans="1:1">
      <c r="A684" s="121"/>
    </row>
    <row r="685" spans="1:1">
      <c r="A685" s="121"/>
    </row>
    <row r="686" spans="1:1">
      <c r="A686" s="121"/>
    </row>
    <row r="687" spans="1:1">
      <c r="A687" s="121"/>
    </row>
    <row r="688" spans="1:1">
      <c r="A688" s="121"/>
    </row>
    <row r="689" spans="1:1">
      <c r="A689" s="121"/>
    </row>
    <row r="690" spans="1:1">
      <c r="A690" s="121"/>
    </row>
    <row r="691" spans="1:1">
      <c r="A691" s="121"/>
    </row>
    <row r="692" spans="1:1">
      <c r="A692" s="121"/>
    </row>
    <row r="693" spans="1:1">
      <c r="A693" s="121"/>
    </row>
    <row r="694" spans="1:1">
      <c r="A694" s="121"/>
    </row>
    <row r="695" spans="1:1">
      <c r="A695" s="121"/>
    </row>
    <row r="696" spans="1:1">
      <c r="A696" s="121"/>
    </row>
    <row r="697" spans="1:1">
      <c r="A697" s="121"/>
    </row>
    <row r="698" spans="1:1">
      <c r="A698" s="121"/>
    </row>
    <row r="699" spans="1:1">
      <c r="A699" s="121"/>
    </row>
    <row r="700" spans="1:1">
      <c r="A700" s="121"/>
    </row>
    <row r="701" spans="1:1">
      <c r="A701" s="121"/>
    </row>
    <row r="702" spans="1:1">
      <c r="A702" s="121"/>
    </row>
    <row r="703" spans="1:1">
      <c r="A703" s="121"/>
    </row>
    <row r="704" spans="1:1">
      <c r="A704" s="121"/>
    </row>
    <row r="705" spans="1:1">
      <c r="A705" s="121"/>
    </row>
    <row r="706" spans="1:1">
      <c r="A706" s="121"/>
    </row>
    <row r="707" spans="1:1">
      <c r="A707" s="121"/>
    </row>
    <row r="708" spans="1:1">
      <c r="A708" s="121"/>
    </row>
    <row r="709" spans="1:1">
      <c r="A709" s="121"/>
    </row>
    <row r="710" spans="1:1">
      <c r="A710" s="121"/>
    </row>
    <row r="711" spans="1:1">
      <c r="A711" s="121"/>
    </row>
    <row r="712" spans="1:1">
      <c r="A712" s="121"/>
    </row>
    <row r="713" spans="1:1">
      <c r="A713" s="121"/>
    </row>
    <row r="714" spans="1:1">
      <c r="A714" s="121"/>
    </row>
    <row r="715" spans="1:1">
      <c r="A715" s="121"/>
    </row>
    <row r="716" spans="1:1">
      <c r="A716" s="121"/>
    </row>
    <row r="717" spans="1:1">
      <c r="A717" s="121"/>
    </row>
    <row r="718" spans="1:1">
      <c r="A718" s="121"/>
    </row>
    <row r="719" spans="1:1">
      <c r="A719" s="121"/>
    </row>
    <row r="720" spans="1:1">
      <c r="A720" s="121"/>
    </row>
    <row r="721" spans="1:1">
      <c r="A721" s="121"/>
    </row>
    <row r="722" spans="1:1">
      <c r="A722" s="121"/>
    </row>
    <row r="723" spans="1:1">
      <c r="A723" s="121"/>
    </row>
    <row r="724" spans="1:1">
      <c r="A724" s="121"/>
    </row>
    <row r="725" spans="1:1">
      <c r="A725" s="121"/>
    </row>
    <row r="726" spans="1:1">
      <c r="A726" s="121"/>
    </row>
    <row r="727" spans="1:1">
      <c r="A727" s="121"/>
    </row>
    <row r="728" spans="1:1">
      <c r="A728" s="121"/>
    </row>
    <row r="729" spans="1:1">
      <c r="A729" s="121"/>
    </row>
    <row r="730" spans="1:1">
      <c r="A730" s="121"/>
    </row>
    <row r="731" spans="1:1">
      <c r="A731" s="121"/>
    </row>
    <row r="732" spans="1:1">
      <c r="A732" s="121"/>
    </row>
    <row r="733" spans="1:1">
      <c r="A733" s="121"/>
    </row>
    <row r="734" spans="1:1">
      <c r="A734" s="121"/>
    </row>
    <row r="735" spans="1:1">
      <c r="A735" s="121"/>
    </row>
    <row r="736" spans="1:1">
      <c r="A736" s="121"/>
    </row>
    <row r="737" spans="1:1">
      <c r="A737" s="121"/>
    </row>
    <row r="738" spans="1:1">
      <c r="A738" s="121"/>
    </row>
    <row r="739" spans="1:1">
      <c r="A739" s="121"/>
    </row>
    <row r="740" spans="1:1">
      <c r="A740" s="121"/>
    </row>
  </sheetData>
  <sheetProtection insertColumns="0" insertRows="0" deleteColumns="0" deleteRows="0" selectLockedCells="1" sort="0" autoFilter="0"/>
  <mergeCells count="18">
    <mergeCell ref="AB11:AH11"/>
    <mergeCell ref="Z11:AA11"/>
    <mergeCell ref="C6:I6"/>
    <mergeCell ref="C8:I8"/>
    <mergeCell ref="C7:I7"/>
    <mergeCell ref="W11:Y11"/>
    <mergeCell ref="K6:M6"/>
    <mergeCell ref="K7:M7"/>
    <mergeCell ref="K8:M8"/>
    <mergeCell ref="C3:I3"/>
    <mergeCell ref="B1:K1"/>
    <mergeCell ref="A11:M11"/>
    <mergeCell ref="N11:U11"/>
    <mergeCell ref="C4:I4"/>
    <mergeCell ref="C5:I5"/>
    <mergeCell ref="K3:M3"/>
    <mergeCell ref="K4:M4"/>
    <mergeCell ref="K5:M5"/>
  </mergeCells>
  <phoneticPr fontId="49" type="noConversion"/>
  <conditionalFormatting sqref="A15:B33">
    <cfRule type="cellIs" dxfId="2" priority="1" operator="equal">
      <formula>0</formula>
    </cfRule>
  </conditionalFormatting>
  <conditionalFormatting sqref="C15:E33">
    <cfRule type="cellIs" dxfId="1" priority="6" operator="equal">
      <formula>"00/01/1900"</formula>
    </cfRule>
  </conditionalFormatting>
  <conditionalFormatting sqref="H15:H33">
    <cfRule type="cellIs" dxfId="0" priority="4" operator="equal">
      <formula>0</formula>
    </cfRule>
  </conditionalFormatting>
  <dataValidations count="3">
    <dataValidation type="list" allowBlank="1" showInputMessage="1" showErrorMessage="1" sqref="M15:M33" xr:uid="{ACB05113-A9B9-440D-A44E-7711E169C3E3}">
      <formula1>"Non,Oui"</formula1>
    </dataValidation>
    <dataValidation type="list" allowBlank="1" showInputMessage="1" showErrorMessage="1" sqref="Y14:Y33" xr:uid="{84CDBD4E-04F9-445B-91BB-CC5738698133}">
      <formula1>"Oui,Non"</formula1>
    </dataValidation>
    <dataValidation type="date" errorStyle="warning" operator="greaterThan" allowBlank="1" showInputMessage="1" showErrorMessage="1" errorTitle="Attention !!!" error="La date de fin est antérieur à la date de début" sqref="E15:E33" xr:uid="{0A8E4C14-423F-497F-8CAF-DF15F9E76EA5}">
      <formula1>C15</formula1>
    </dataValidation>
  </dataValidations>
  <hyperlinks>
    <hyperlink ref="G12" r:id="rId1" display="https://formacode.centre-inffo.fr/spip.php?page=thesaurus" xr:uid="{619368CD-77DE-42AC-A997-E8C891F53AA8}"/>
    <hyperlink ref="H12" r:id="rId2" display="CODE RNCP" xr:uid="{FC5CD3E7-2A88-4933-B5B0-940E48DD8999}"/>
  </hyperlinks>
  <pageMargins left="0.7" right="0.7" top="0.75" bottom="0.75" header="0.3" footer="0.3"/>
  <pageSetup paperSize="9" orientation="portrait" r:id="rId3"/>
  <drawing r:id="rId4"/>
  <extLst>
    <ext xmlns:x14="http://schemas.microsoft.com/office/spreadsheetml/2009/9/main" uri="{CCE6A557-97BC-4b89-ADB6-D9C93CAAB3DF}">
      <x14:dataValidations xmlns:xm="http://schemas.microsoft.com/office/excel/2006/main" count="13">
        <x14:dataValidation type="list" allowBlank="1" showInputMessage="1" showErrorMessage="1" xr:uid="{0AD5E8F4-99A7-4432-BCE8-6BA526DE1FF1}">
          <x14:formula1>
            <xm:f>Feuil1!$A$2:$A$24</xm:f>
          </x14:formula1>
          <xm:sqref>C8</xm:sqref>
        </x14:dataValidation>
        <x14:dataValidation type="list" allowBlank="1" showInputMessage="1" showErrorMessage="1" xr:uid="{35227E34-0616-4BC8-AB05-BC91471C44AB}">
          <x14:formula1>
            <xm:f>Feuil1!$B$2:$B$4</xm:f>
          </x14:formula1>
          <xm:sqref>F14</xm:sqref>
        </x14:dataValidation>
        <x14:dataValidation type="list" allowBlank="1" showInputMessage="1" showErrorMessage="1" xr:uid="{7CF1E458-C643-4934-8BCF-E5BFD10FFB7D}">
          <x14:formula1>
            <xm:f>Feuil1!$D$2:$D$66</xm:f>
          </x14:formula1>
          <xm:sqref>K15:K33</xm:sqref>
        </x14:dataValidation>
        <x14:dataValidation type="list" allowBlank="1" showInputMessage="1" xr:uid="{75C82D5D-EBC4-4E73-B34A-E17FE16C7373}">
          <x14:formula1>
            <xm:f>Feuil1!$F$2:$F$4</xm:f>
          </x14:formula1>
          <xm:sqref>F15:F33</xm:sqref>
        </x14:dataValidation>
        <x14:dataValidation type="list" allowBlank="1" showInputMessage="1" showErrorMessage="1" xr:uid="{B015F5B0-A362-49C5-9D7D-EA408112B496}">
          <x14:formula1>
            <xm:f>Feuil1!$K$2:$K$3</xm:f>
          </x14:formula1>
          <xm:sqref>L14:L33</xm:sqref>
        </x14:dataValidation>
        <x14:dataValidation type="list" allowBlank="1" showInputMessage="1" showErrorMessage="1" xr:uid="{21EC16DF-D763-46A4-8E9B-216E1F4EA751}">
          <x14:formula1>
            <xm:f>Feuil1!$J$2:$J$31</xm:f>
          </x14:formula1>
          <xm:sqref>J14:J33</xm:sqref>
        </x14:dataValidation>
        <x14:dataValidation type="list" allowBlank="1" showInputMessage="1" showErrorMessage="1" xr:uid="{F7DAA009-E41E-4A4C-8808-7DD0C2ACE900}">
          <x14:formula1>
            <xm:f>Feuil1!$E$2:$E$3</xm:f>
          </x14:formula1>
          <xm:sqref>I15:I33 Q14:Q33</xm:sqref>
        </x14:dataValidation>
        <x14:dataValidation type="list" allowBlank="1" showInputMessage="1" showErrorMessage="1" xr:uid="{52AC3481-5070-4586-B9E4-7121BF0C1343}">
          <x14:formula1>
            <xm:f>Feuil1!$H$2:$H$19</xm:f>
          </x14:formula1>
          <xm:sqref>Z15:Z33</xm:sqref>
        </x14:dataValidation>
        <x14:dataValidation type="list" allowBlank="1" showInputMessage="1" showErrorMessage="1" xr:uid="{6E43B94E-947B-437C-8CBA-B643227B7B66}">
          <x14:formula1>
            <xm:f>Feuil1!$I$2:$I$35</xm:f>
          </x14:formula1>
          <xm:sqref>AA14:AA33</xm:sqref>
        </x14:dataValidation>
        <x14:dataValidation type="list" allowBlank="1" showInputMessage="1" showErrorMessage="1" xr:uid="{6C4953E3-D543-4961-A142-19DC38DDBD2D}">
          <x14:formula1>
            <xm:f>Feuil1!$C$2:$C$13</xm:f>
          </x14:formula1>
          <xm:sqref>X14</xm:sqref>
        </x14:dataValidation>
        <x14:dataValidation type="list" allowBlank="1" showInputMessage="1" showErrorMessage="1" xr:uid="{1EA73753-4D1E-471E-A0B0-3A0474162A30}">
          <x14:formula1>
            <xm:f>Feuil1!$G$3:$G$11</xm:f>
          </x14:formula1>
          <xm:sqref>W14</xm:sqref>
        </x14:dataValidation>
        <x14:dataValidation type="list" allowBlank="1" showInputMessage="1" xr:uid="{A8CAA130-5475-44AF-ABB5-81F2B528FF4D}">
          <x14:formula1>
            <xm:f>Feuil1!$C$2:$C$10</xm:f>
          </x14:formula1>
          <xm:sqref>X15:X33</xm:sqref>
        </x14:dataValidation>
        <x14:dataValidation type="list" allowBlank="1" showInputMessage="1" xr:uid="{352AD1C1-702D-4176-B3B9-2248C7F7F7F9}">
          <x14:formula1>
            <xm:f>Feuil1!$G$2:$G$12</xm:f>
          </x14:formula1>
          <xm:sqref>W15:W33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1552-304D-4C5F-A6D1-307947B66DA4}">
  <sheetPr codeName="Feuil5">
    <tabColor rgb="FF49F0B1"/>
  </sheetPr>
  <dimension ref="A1:G39"/>
  <sheetViews>
    <sheetView topLeftCell="A18" zoomScale="90" zoomScaleNormal="90" workbookViewId="0">
      <selection activeCell="C35" sqref="C35"/>
    </sheetView>
  </sheetViews>
  <sheetFormatPr baseColWidth="10" defaultColWidth="11.453125" defaultRowHeight="12"/>
  <cols>
    <col min="1" max="1" width="2.7265625" style="3" customWidth="1"/>
    <col min="2" max="2" width="28.7265625" style="14" customWidth="1"/>
    <col min="3" max="3" width="29.1796875" style="3" customWidth="1"/>
    <col min="4" max="4" width="2.1796875" style="3" bestFit="1" customWidth="1"/>
    <col min="5" max="5" width="127.453125" style="3" customWidth="1"/>
    <col min="6" max="6" width="48" style="3" customWidth="1"/>
    <col min="7" max="7" width="2.7265625" style="3" customWidth="1"/>
    <col min="8" max="16384" width="11.453125" style="3"/>
  </cols>
  <sheetData>
    <row r="1" spans="1:7" ht="73.5" customHeight="1">
      <c r="A1" s="218"/>
      <c r="B1" s="218"/>
      <c r="C1" s="218"/>
      <c r="D1" s="218"/>
      <c r="E1" s="218"/>
      <c r="F1" s="218"/>
      <c r="G1" s="218"/>
    </row>
    <row r="2" spans="1:7">
      <c r="A2" s="218"/>
      <c r="B2" s="218"/>
      <c r="C2" s="218"/>
      <c r="D2" s="218"/>
      <c r="E2" s="218"/>
      <c r="F2" s="218"/>
      <c r="G2" s="218"/>
    </row>
    <row r="3" spans="1:7">
      <c r="A3" s="218"/>
      <c r="B3" s="218"/>
      <c r="C3" s="218"/>
      <c r="D3" s="8" t="s">
        <v>44</v>
      </c>
      <c r="E3" s="9" t="s">
        <v>45</v>
      </c>
      <c r="F3" s="218"/>
      <c r="G3" s="218"/>
    </row>
    <row r="4" spans="1:7">
      <c r="A4" s="218"/>
      <c r="B4" s="218"/>
      <c r="C4" s="218"/>
      <c r="D4" s="10"/>
      <c r="E4" s="11" t="s">
        <v>254</v>
      </c>
      <c r="F4" s="218"/>
      <c r="G4" s="218"/>
    </row>
    <row r="5" spans="1:7">
      <c r="A5" s="218"/>
      <c r="B5" s="218"/>
      <c r="C5" s="218"/>
      <c r="D5" s="12"/>
      <c r="E5" s="11" t="s">
        <v>46</v>
      </c>
      <c r="F5" s="218"/>
      <c r="G5" s="218"/>
    </row>
    <row r="6" spans="1:7">
      <c r="A6" s="264"/>
      <c r="B6" s="264"/>
      <c r="C6" s="264"/>
      <c r="D6" s="264"/>
      <c r="E6" s="264"/>
      <c r="F6" s="264"/>
      <c r="G6" s="264"/>
    </row>
    <row r="7" spans="1:7" ht="14.5">
      <c r="A7" s="13"/>
      <c r="D7" s="220" t="s">
        <v>168</v>
      </c>
      <c r="E7" s="220"/>
      <c r="F7" s="220"/>
      <c r="G7" s="13"/>
    </row>
    <row r="8" spans="1:7">
      <c r="A8" s="218"/>
      <c r="B8" s="218"/>
      <c r="C8" s="218"/>
      <c r="D8" s="218"/>
      <c r="E8" s="218"/>
      <c r="F8" s="218"/>
      <c r="G8" s="218"/>
    </row>
    <row r="9" spans="1:7">
      <c r="A9" s="270"/>
      <c r="B9" s="265" t="s">
        <v>5</v>
      </c>
      <c r="C9" s="15" t="s">
        <v>8</v>
      </c>
      <c r="D9" s="16" t="s">
        <v>44</v>
      </c>
      <c r="E9" s="17" t="s">
        <v>47</v>
      </c>
      <c r="F9" s="18"/>
      <c r="G9" s="271"/>
    </row>
    <row r="10" spans="1:7">
      <c r="A10" s="270"/>
      <c r="B10" s="265"/>
      <c r="C10" s="15" t="s">
        <v>9</v>
      </c>
      <c r="D10" s="16" t="s">
        <v>44</v>
      </c>
      <c r="E10" s="17" t="s">
        <v>48</v>
      </c>
      <c r="F10" s="18"/>
      <c r="G10" s="271"/>
    </row>
    <row r="11" spans="1:7">
      <c r="A11" s="270"/>
      <c r="B11" s="265"/>
      <c r="C11" s="15" t="s">
        <v>10</v>
      </c>
      <c r="D11" s="16" t="s">
        <v>44</v>
      </c>
      <c r="E11" s="17" t="s">
        <v>49</v>
      </c>
      <c r="F11" s="18"/>
      <c r="G11" s="271"/>
    </row>
    <row r="12" spans="1:7">
      <c r="A12" s="270"/>
      <c r="B12" s="265"/>
      <c r="C12" s="15" t="s">
        <v>11</v>
      </c>
      <c r="D12" s="16" t="s">
        <v>44</v>
      </c>
      <c r="E12" s="17" t="s">
        <v>50</v>
      </c>
      <c r="F12" s="18"/>
      <c r="G12" s="271"/>
    </row>
    <row r="13" spans="1:7" ht="46">
      <c r="A13" s="270"/>
      <c r="B13" s="265"/>
      <c r="C13" s="1" t="s">
        <v>12</v>
      </c>
      <c r="D13" s="19"/>
      <c r="E13" s="20" t="s">
        <v>51</v>
      </c>
      <c r="F13" s="21" t="s">
        <v>52</v>
      </c>
      <c r="G13" s="271"/>
    </row>
    <row r="14" spans="1:7" ht="57.5">
      <c r="A14" s="270"/>
      <c r="B14" s="265"/>
      <c r="C14" s="22" t="s">
        <v>165</v>
      </c>
      <c r="D14" s="16" t="s">
        <v>44</v>
      </c>
      <c r="E14" s="17" t="s">
        <v>53</v>
      </c>
      <c r="F14" s="23" t="s">
        <v>54</v>
      </c>
      <c r="G14" s="271"/>
    </row>
    <row r="15" spans="1:7">
      <c r="A15" s="270"/>
      <c r="B15" s="265"/>
      <c r="C15" s="15" t="s">
        <v>13</v>
      </c>
      <c r="D15" s="16" t="s">
        <v>44</v>
      </c>
      <c r="E15" s="17" t="s">
        <v>55</v>
      </c>
      <c r="F15" s="21" t="s">
        <v>52</v>
      </c>
      <c r="G15" s="271"/>
    </row>
    <row r="16" spans="1:7" ht="23">
      <c r="A16" s="270"/>
      <c r="B16" s="265"/>
      <c r="C16" s="15" t="s">
        <v>14</v>
      </c>
      <c r="D16" s="16" t="s">
        <v>44</v>
      </c>
      <c r="E16" s="17" t="s">
        <v>256</v>
      </c>
      <c r="F16" s="21" t="s">
        <v>56</v>
      </c>
      <c r="G16" s="271"/>
    </row>
    <row r="17" spans="1:7" ht="46">
      <c r="A17" s="270"/>
      <c r="B17" s="265"/>
      <c r="C17" s="22" t="s">
        <v>15</v>
      </c>
      <c r="D17" s="16" t="s">
        <v>44</v>
      </c>
      <c r="E17" s="20" t="s">
        <v>250</v>
      </c>
      <c r="F17" s="18"/>
      <c r="G17" s="271"/>
    </row>
    <row r="18" spans="1:7">
      <c r="A18" s="270"/>
      <c r="B18" s="266" t="s">
        <v>6</v>
      </c>
      <c r="C18" s="24" t="s">
        <v>16</v>
      </c>
      <c r="D18" s="16" t="s">
        <v>44</v>
      </c>
      <c r="E18" s="17" t="s">
        <v>57</v>
      </c>
      <c r="F18" s="18"/>
      <c r="G18" s="271"/>
    </row>
    <row r="19" spans="1:7">
      <c r="A19" s="270"/>
      <c r="B19" s="266"/>
      <c r="C19" s="24" t="s">
        <v>17</v>
      </c>
      <c r="D19" s="16" t="s">
        <v>44</v>
      </c>
      <c r="E19" s="17" t="s">
        <v>58</v>
      </c>
      <c r="F19" s="18"/>
      <c r="G19" s="271"/>
    </row>
    <row r="20" spans="1:7">
      <c r="A20" s="270"/>
      <c r="B20" s="266"/>
      <c r="C20" s="24" t="s">
        <v>18</v>
      </c>
      <c r="D20" s="16" t="s">
        <v>44</v>
      </c>
      <c r="E20" s="17" t="s">
        <v>169</v>
      </c>
      <c r="F20" s="18"/>
      <c r="G20" s="271"/>
    </row>
    <row r="21" spans="1:7">
      <c r="A21" s="270"/>
      <c r="B21" s="266"/>
      <c r="C21" s="24" t="s">
        <v>19</v>
      </c>
      <c r="D21" s="16" t="s">
        <v>44</v>
      </c>
      <c r="E21" s="17" t="s">
        <v>59</v>
      </c>
      <c r="F21" s="18"/>
      <c r="G21" s="271"/>
    </row>
    <row r="22" spans="1:7">
      <c r="A22" s="270"/>
      <c r="B22" s="266"/>
      <c r="C22" s="2" t="s">
        <v>20</v>
      </c>
      <c r="D22" s="19"/>
      <c r="E22" s="20" t="s">
        <v>60</v>
      </c>
      <c r="F22" s="18"/>
      <c r="G22" s="271"/>
    </row>
    <row r="23" spans="1:7">
      <c r="A23" s="270"/>
      <c r="B23" s="266"/>
      <c r="C23" s="24" t="s">
        <v>21</v>
      </c>
      <c r="D23" s="16" t="s">
        <v>44</v>
      </c>
      <c r="E23" s="17" t="s">
        <v>61</v>
      </c>
      <c r="F23" s="25" t="s">
        <v>62</v>
      </c>
      <c r="G23" s="271"/>
    </row>
    <row r="24" spans="1:7">
      <c r="A24" s="270"/>
      <c r="B24" s="266"/>
      <c r="C24" s="24" t="s">
        <v>22</v>
      </c>
      <c r="D24" s="16" t="s">
        <v>44</v>
      </c>
      <c r="E24" s="17" t="s">
        <v>63</v>
      </c>
      <c r="F24" s="18"/>
      <c r="G24" s="271"/>
    </row>
    <row r="25" spans="1:7" ht="32.25" customHeight="1">
      <c r="A25" s="270"/>
      <c r="B25" s="37" t="s">
        <v>231</v>
      </c>
      <c r="C25" s="26" t="s">
        <v>239</v>
      </c>
      <c r="D25" s="19"/>
      <c r="E25" s="20" t="s">
        <v>255</v>
      </c>
      <c r="F25" s="135"/>
      <c r="G25" s="271"/>
    </row>
    <row r="26" spans="1:7" ht="12" customHeight="1">
      <c r="A26" s="270"/>
      <c r="B26" s="272" t="s">
        <v>237</v>
      </c>
      <c r="C26" s="26" t="s">
        <v>240</v>
      </c>
      <c r="D26" s="19"/>
      <c r="E26" s="20" t="s">
        <v>243</v>
      </c>
      <c r="F26" s="21" t="s">
        <v>52</v>
      </c>
      <c r="G26" s="271"/>
    </row>
    <row r="27" spans="1:7">
      <c r="A27" s="270"/>
      <c r="B27" s="273"/>
      <c r="C27" s="26" t="s">
        <v>23</v>
      </c>
      <c r="D27" s="16" t="s">
        <v>44</v>
      </c>
      <c r="E27" s="17" t="s">
        <v>64</v>
      </c>
      <c r="F27" s="18"/>
      <c r="G27" s="271"/>
    </row>
    <row r="28" spans="1:7" ht="24">
      <c r="A28" s="270"/>
      <c r="B28" s="274"/>
      <c r="C28" s="36" t="s">
        <v>241</v>
      </c>
      <c r="D28" s="19"/>
      <c r="E28" s="20" t="s">
        <v>242</v>
      </c>
      <c r="F28" s="18"/>
      <c r="G28" s="271"/>
    </row>
    <row r="29" spans="1:7">
      <c r="A29" s="219"/>
      <c r="B29" s="267" t="s">
        <v>7</v>
      </c>
      <c r="C29" s="41" t="s">
        <v>24</v>
      </c>
      <c r="D29" s="38" t="s">
        <v>44</v>
      </c>
      <c r="E29" s="17" t="s">
        <v>65</v>
      </c>
      <c r="F29" s="18"/>
      <c r="G29" s="271"/>
    </row>
    <row r="30" spans="1:7" ht="23.5">
      <c r="A30" s="219"/>
      <c r="B30" s="268"/>
      <c r="C30" s="42" t="s">
        <v>25</v>
      </c>
      <c r="D30" s="38" t="s">
        <v>44</v>
      </c>
      <c r="E30" s="17" t="s">
        <v>170</v>
      </c>
      <c r="F30" s="18"/>
      <c r="G30" s="271"/>
    </row>
    <row r="31" spans="1:7" ht="22.5" customHeight="1">
      <c r="A31" s="219"/>
      <c r="B31" s="268"/>
      <c r="C31" s="42" t="s">
        <v>26</v>
      </c>
      <c r="D31" s="39"/>
      <c r="E31" s="20" t="s">
        <v>66</v>
      </c>
      <c r="F31" s="18"/>
      <c r="G31" s="271"/>
    </row>
    <row r="32" spans="1:7" ht="19.5" customHeight="1">
      <c r="A32" s="30"/>
      <c r="B32" s="268"/>
      <c r="C32" s="43" t="s">
        <v>27</v>
      </c>
      <c r="D32" s="40"/>
      <c r="E32" s="20" t="s">
        <v>67</v>
      </c>
      <c r="F32" s="18"/>
      <c r="G32" s="30"/>
    </row>
    <row r="33" spans="2:6" ht="33" customHeight="1">
      <c r="B33" s="268"/>
      <c r="C33" s="44" t="s">
        <v>28</v>
      </c>
      <c r="D33" s="40"/>
      <c r="E33" s="20" t="s">
        <v>68</v>
      </c>
      <c r="F33" s="18"/>
    </row>
    <row r="34" spans="2:6" ht="21" customHeight="1">
      <c r="B34" s="269"/>
      <c r="C34" s="44" t="s">
        <v>29</v>
      </c>
      <c r="D34" s="40"/>
      <c r="E34" s="20" t="s">
        <v>69</v>
      </c>
      <c r="F34" s="18"/>
    </row>
    <row r="35" spans="2:6">
      <c r="B35" s="30"/>
      <c r="C35" s="30"/>
      <c r="D35" s="30"/>
      <c r="E35" s="30"/>
    </row>
    <row r="36" spans="2:6">
      <c r="B36" s="3"/>
    </row>
    <row r="39" spans="2:6">
      <c r="B39" s="45"/>
    </row>
  </sheetData>
  <sheetProtection sheet="1" objects="1" scenarios="1"/>
  <mergeCells count="13">
    <mergeCell ref="B9:B17"/>
    <mergeCell ref="B18:B24"/>
    <mergeCell ref="B29:B34"/>
    <mergeCell ref="A8:G8"/>
    <mergeCell ref="A9:A31"/>
    <mergeCell ref="G9:G31"/>
    <mergeCell ref="B26:B28"/>
    <mergeCell ref="D7:F7"/>
    <mergeCell ref="A1:G1"/>
    <mergeCell ref="A3:C5"/>
    <mergeCell ref="A2:G2"/>
    <mergeCell ref="F3:G5"/>
    <mergeCell ref="A6:G6"/>
  </mergeCells>
  <hyperlinks>
    <hyperlink ref="C14" r:id="rId1" display="https://formacode.centre-inffo.fr/spip.php?page=thesaurus" xr:uid="{04D6056B-FECB-47F1-85E4-073E90C93AB8}"/>
    <hyperlink ref="D7:F7" r:id="rId2" display="Pour faire vos demndes de prise en charge, connectez-vous à Mon Espace" xr:uid="{B1AD5CA3-418F-46E4-9E5E-CD9F51C79E94}"/>
    <hyperlink ref="C17" r:id="rId3" xr:uid="{9111655B-6012-44D5-94F2-8AE03C1026AC}"/>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FCD4-FE86-43B2-AA4E-FA0940467201}">
  <sheetPr codeName="Feuil6"/>
  <dimension ref="A1:K66"/>
  <sheetViews>
    <sheetView workbookViewId="0">
      <selection activeCell="H12" sqref="H12"/>
    </sheetView>
  </sheetViews>
  <sheetFormatPr baseColWidth="10" defaultColWidth="11.453125" defaultRowHeight="14.5"/>
  <cols>
    <col min="1" max="1" width="48" bestFit="1" customWidth="1"/>
    <col min="2" max="2" width="17.453125" bestFit="1" customWidth="1"/>
    <col min="3" max="3" width="20.54296875" bestFit="1" customWidth="1"/>
    <col min="4" max="4" width="45.26953125" bestFit="1" customWidth="1"/>
    <col min="6" max="6" width="17.453125" bestFit="1" customWidth="1"/>
    <col min="7" max="7" width="23.54296875" customWidth="1"/>
    <col min="8" max="8" width="33.1796875" bestFit="1" customWidth="1"/>
    <col min="9" max="9" width="22.453125" bestFit="1" customWidth="1"/>
    <col min="10" max="10" width="33.54296875" customWidth="1"/>
  </cols>
  <sheetData>
    <row r="1" spans="1:11" s="29" customFormat="1">
      <c r="A1" s="29" t="s">
        <v>4</v>
      </c>
      <c r="B1" s="29" t="s">
        <v>70</v>
      </c>
      <c r="C1" s="29" t="s">
        <v>23</v>
      </c>
      <c r="D1" s="29" t="s">
        <v>71</v>
      </c>
      <c r="E1" s="29" t="s">
        <v>173</v>
      </c>
      <c r="F1" s="29" t="s">
        <v>70</v>
      </c>
      <c r="G1" s="29" t="s">
        <v>233</v>
      </c>
      <c r="H1" s="29" t="s">
        <v>189</v>
      </c>
      <c r="I1" s="29" t="s">
        <v>193</v>
      </c>
      <c r="J1" s="29" t="s">
        <v>203</v>
      </c>
      <c r="K1" s="29" t="s">
        <v>201</v>
      </c>
    </row>
    <row r="2" spans="1:11">
      <c r="A2" t="s">
        <v>94</v>
      </c>
      <c r="B2" t="s">
        <v>166</v>
      </c>
      <c r="C2" t="s">
        <v>81</v>
      </c>
      <c r="D2" t="s">
        <v>73</v>
      </c>
      <c r="E2" t="s">
        <v>171</v>
      </c>
      <c r="F2" t="s">
        <v>33</v>
      </c>
      <c r="H2" t="s">
        <v>190</v>
      </c>
      <c r="I2" t="s">
        <v>194</v>
      </c>
      <c r="J2" t="s">
        <v>217</v>
      </c>
      <c r="K2" t="s">
        <v>200</v>
      </c>
    </row>
    <row r="3" spans="1:11">
      <c r="A3" t="s">
        <v>80</v>
      </c>
      <c r="B3" t="s">
        <v>167</v>
      </c>
      <c r="C3" t="s">
        <v>90</v>
      </c>
      <c r="D3" t="s">
        <v>76</v>
      </c>
      <c r="E3" t="s">
        <v>172</v>
      </c>
      <c r="F3" t="s">
        <v>176</v>
      </c>
      <c r="G3" t="s">
        <v>234</v>
      </c>
      <c r="H3" t="s">
        <v>220</v>
      </c>
      <c r="I3" t="s">
        <v>197</v>
      </c>
      <c r="J3" t="s">
        <v>190</v>
      </c>
      <c r="K3" t="s">
        <v>202</v>
      </c>
    </row>
    <row r="4" spans="1:11">
      <c r="A4" t="s">
        <v>106</v>
      </c>
      <c r="C4" t="s">
        <v>78</v>
      </c>
      <c r="D4" t="s">
        <v>79</v>
      </c>
      <c r="F4" t="s">
        <v>177</v>
      </c>
      <c r="G4" t="s">
        <v>235</v>
      </c>
      <c r="H4" t="s">
        <v>221</v>
      </c>
      <c r="I4" t="s">
        <v>198</v>
      </c>
      <c r="J4" t="s">
        <v>218</v>
      </c>
    </row>
    <row r="5" spans="1:11">
      <c r="A5" t="s">
        <v>74</v>
      </c>
      <c r="C5" t="s">
        <v>87</v>
      </c>
      <c r="D5" t="s">
        <v>82</v>
      </c>
      <c r="G5" t="s">
        <v>205</v>
      </c>
      <c r="H5" t="s">
        <v>191</v>
      </c>
      <c r="I5" t="s">
        <v>196</v>
      </c>
      <c r="J5" t="s">
        <v>205</v>
      </c>
    </row>
    <row r="6" spans="1:11">
      <c r="A6" t="s">
        <v>100</v>
      </c>
      <c r="C6" t="s">
        <v>43</v>
      </c>
      <c r="D6" t="s">
        <v>85</v>
      </c>
      <c r="G6" t="s">
        <v>206</v>
      </c>
      <c r="H6" t="s">
        <v>195</v>
      </c>
      <c r="J6" t="s">
        <v>206</v>
      </c>
    </row>
    <row r="7" spans="1:11">
      <c r="A7" t="s">
        <v>98</v>
      </c>
      <c r="C7" t="s">
        <v>75</v>
      </c>
      <c r="D7" t="s">
        <v>88</v>
      </c>
      <c r="G7" t="s">
        <v>207</v>
      </c>
      <c r="H7" t="s">
        <v>192</v>
      </c>
      <c r="J7" t="s">
        <v>207</v>
      </c>
    </row>
    <row r="8" spans="1:11">
      <c r="A8" t="s">
        <v>102</v>
      </c>
      <c r="C8" t="s">
        <v>84</v>
      </c>
      <c r="D8" t="s">
        <v>91</v>
      </c>
      <c r="G8" t="s">
        <v>213</v>
      </c>
      <c r="H8" t="s">
        <v>222</v>
      </c>
      <c r="J8" t="s">
        <v>208</v>
      </c>
    </row>
    <row r="9" spans="1:11">
      <c r="A9" t="s">
        <v>89</v>
      </c>
      <c r="C9" t="s">
        <v>273</v>
      </c>
      <c r="D9" t="s">
        <v>93</v>
      </c>
      <c r="G9" t="s">
        <v>248</v>
      </c>
      <c r="J9" t="s">
        <v>209</v>
      </c>
    </row>
    <row r="10" spans="1:11">
      <c r="A10" t="s">
        <v>104</v>
      </c>
      <c r="D10" t="s">
        <v>95</v>
      </c>
      <c r="G10" t="s">
        <v>249</v>
      </c>
      <c r="J10" t="s">
        <v>210</v>
      </c>
    </row>
    <row r="11" spans="1:11">
      <c r="A11" t="s">
        <v>108</v>
      </c>
      <c r="D11" t="s">
        <v>97</v>
      </c>
      <c r="G11" t="s">
        <v>251</v>
      </c>
      <c r="J11" t="s">
        <v>211</v>
      </c>
    </row>
    <row r="12" spans="1:11">
      <c r="A12" t="s">
        <v>77</v>
      </c>
      <c r="D12" t="s">
        <v>99</v>
      </c>
      <c r="G12" t="s">
        <v>273</v>
      </c>
      <c r="J12" t="s">
        <v>212</v>
      </c>
    </row>
    <row r="13" spans="1:11">
      <c r="A13" t="s">
        <v>110</v>
      </c>
      <c r="D13" t="s">
        <v>101</v>
      </c>
      <c r="J13" t="s">
        <v>213</v>
      </c>
    </row>
    <row r="14" spans="1:11">
      <c r="A14" t="s">
        <v>86</v>
      </c>
      <c r="D14" t="s">
        <v>103</v>
      </c>
      <c r="J14" t="s">
        <v>214</v>
      </c>
    </row>
    <row r="15" spans="1:11">
      <c r="A15" t="s">
        <v>83</v>
      </c>
      <c r="D15" t="s">
        <v>105</v>
      </c>
      <c r="J15" t="s">
        <v>215</v>
      </c>
    </row>
    <row r="16" spans="1:11">
      <c r="A16" t="s">
        <v>112</v>
      </c>
      <c r="D16" t="s">
        <v>107</v>
      </c>
      <c r="J16" t="s">
        <v>216</v>
      </c>
    </row>
    <row r="17" spans="1:4">
      <c r="A17" t="s">
        <v>114</v>
      </c>
      <c r="D17" t="s">
        <v>109</v>
      </c>
    </row>
    <row r="18" spans="1:4">
      <c r="A18" t="s">
        <v>116</v>
      </c>
      <c r="D18" t="s">
        <v>111</v>
      </c>
    </row>
    <row r="19" spans="1:4">
      <c r="A19" t="s">
        <v>72</v>
      </c>
      <c r="D19" t="s">
        <v>113</v>
      </c>
    </row>
    <row r="20" spans="1:4">
      <c r="A20" t="s">
        <v>118</v>
      </c>
      <c r="D20" t="s">
        <v>115</v>
      </c>
    </row>
    <row r="21" spans="1:4">
      <c r="A21" t="s">
        <v>92</v>
      </c>
      <c r="D21" t="s">
        <v>117</v>
      </c>
    </row>
    <row r="22" spans="1:4">
      <c r="A22" t="s">
        <v>120</v>
      </c>
      <c r="D22" t="s">
        <v>119</v>
      </c>
    </row>
    <row r="23" spans="1:4">
      <c r="A23" t="s">
        <v>96</v>
      </c>
      <c r="D23" t="s">
        <v>121</v>
      </c>
    </row>
    <row r="24" spans="1:4">
      <c r="A24" t="s">
        <v>122</v>
      </c>
      <c r="D24" t="s">
        <v>123</v>
      </c>
    </row>
    <row r="25" spans="1:4">
      <c r="D25" t="s">
        <v>124</v>
      </c>
    </row>
    <row r="26" spans="1:4">
      <c r="D26" t="s">
        <v>125</v>
      </c>
    </row>
    <row r="27" spans="1:4">
      <c r="D27" t="s">
        <v>126</v>
      </c>
    </row>
    <row r="28" spans="1:4">
      <c r="D28" t="s">
        <v>127</v>
      </c>
    </row>
    <row r="29" spans="1:4">
      <c r="D29" t="s">
        <v>128</v>
      </c>
    </row>
    <row r="30" spans="1:4">
      <c r="D30" t="s">
        <v>129</v>
      </c>
    </row>
    <row r="31" spans="1:4">
      <c r="D31" t="s">
        <v>130</v>
      </c>
    </row>
    <row r="32" spans="1:4">
      <c r="D32" t="s">
        <v>131</v>
      </c>
    </row>
    <row r="33" spans="4:4">
      <c r="D33" t="s">
        <v>132</v>
      </c>
    </row>
    <row r="34" spans="4:4">
      <c r="D34" t="s">
        <v>133</v>
      </c>
    </row>
    <row r="35" spans="4:4">
      <c r="D35" t="s">
        <v>134</v>
      </c>
    </row>
    <row r="36" spans="4:4">
      <c r="D36" t="s">
        <v>135</v>
      </c>
    </row>
    <row r="37" spans="4:4">
      <c r="D37" t="s">
        <v>136</v>
      </c>
    </row>
    <row r="38" spans="4:4">
      <c r="D38" t="s">
        <v>137</v>
      </c>
    </row>
    <row r="39" spans="4:4">
      <c r="D39" t="s">
        <v>138</v>
      </c>
    </row>
    <row r="40" spans="4:4">
      <c r="D40" t="s">
        <v>139</v>
      </c>
    </row>
    <row r="41" spans="4:4">
      <c r="D41" t="s">
        <v>140</v>
      </c>
    </row>
    <row r="42" spans="4:4">
      <c r="D42" t="s">
        <v>141</v>
      </c>
    </row>
    <row r="43" spans="4:4">
      <c r="D43" t="s">
        <v>142</v>
      </c>
    </row>
    <row r="44" spans="4:4">
      <c r="D44" t="s">
        <v>143</v>
      </c>
    </row>
    <row r="45" spans="4:4">
      <c r="D45" t="s">
        <v>144</v>
      </c>
    </row>
    <row r="46" spans="4:4">
      <c r="D46" t="s">
        <v>145</v>
      </c>
    </row>
    <row r="47" spans="4:4">
      <c r="D47" t="s">
        <v>146</v>
      </c>
    </row>
    <row r="48" spans="4:4">
      <c r="D48" t="s">
        <v>147</v>
      </c>
    </row>
    <row r="49" spans="4:4">
      <c r="D49" t="s">
        <v>148</v>
      </c>
    </row>
    <row r="50" spans="4:4">
      <c r="D50" t="s">
        <v>149</v>
      </c>
    </row>
    <row r="51" spans="4:4">
      <c r="D51" t="s">
        <v>150</v>
      </c>
    </row>
    <row r="52" spans="4:4">
      <c r="D52" t="s">
        <v>151</v>
      </c>
    </row>
    <row r="53" spans="4:4">
      <c r="D53" t="s">
        <v>152</v>
      </c>
    </row>
    <row r="54" spans="4:4">
      <c r="D54" t="s">
        <v>153</v>
      </c>
    </row>
    <row r="55" spans="4:4">
      <c r="D55" t="s">
        <v>154</v>
      </c>
    </row>
    <row r="56" spans="4:4">
      <c r="D56" t="s">
        <v>155</v>
      </c>
    </row>
    <row r="57" spans="4:4">
      <c r="D57" t="s">
        <v>156</v>
      </c>
    </row>
    <row r="58" spans="4:4">
      <c r="D58" t="s">
        <v>157</v>
      </c>
    </row>
    <row r="59" spans="4:4">
      <c r="D59" t="s">
        <v>158</v>
      </c>
    </row>
    <row r="60" spans="4:4">
      <c r="D60" t="s">
        <v>159</v>
      </c>
    </row>
    <row r="61" spans="4:4">
      <c r="D61" t="s">
        <v>160</v>
      </c>
    </row>
    <row r="62" spans="4:4">
      <c r="D62" t="s">
        <v>161</v>
      </c>
    </row>
    <row r="63" spans="4:4">
      <c r="D63" t="s">
        <v>162</v>
      </c>
    </row>
    <row r="64" spans="4:4">
      <c r="D64" t="s">
        <v>28</v>
      </c>
    </row>
    <row r="65" spans="4:4">
      <c r="D65" t="s">
        <v>163</v>
      </c>
    </row>
    <row r="66" spans="4:4">
      <c r="D66" t="s">
        <v>164</v>
      </c>
    </row>
  </sheetData>
  <sortState xmlns:xlrd2="http://schemas.microsoft.com/office/spreadsheetml/2017/richdata2" ref="G3:G10">
    <sortCondition ref="G3:G1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589F89AE2DEB14C92322E4CAD524114" ma:contentTypeVersion="20" ma:contentTypeDescription="Crée un document." ma:contentTypeScope="" ma:versionID="d1b0d5def26d0c78269010cab1ab840a">
  <xsd:schema xmlns:xsd="http://www.w3.org/2001/XMLSchema" xmlns:xs="http://www.w3.org/2001/XMLSchema" xmlns:p="http://schemas.microsoft.com/office/2006/metadata/properties" xmlns:ns2="e5f0461a-b235-4712-9276-b926a10e4b20" xmlns:ns3="85dc2699-86c8-46ed-be6a-17aad96beb6a" targetNamespace="http://schemas.microsoft.com/office/2006/metadata/properties" ma:root="true" ma:fieldsID="c5f98ee7e2f8543aa2e297c55ec3c1ea" ns2:_="" ns3:_="">
    <xsd:import namespace="e5f0461a-b235-4712-9276-b926a10e4b20"/>
    <xsd:import namespace="85dc2699-86c8-46ed-be6a-17aad96beb6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f0461a-b235-4712-9276-b926a10e4b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0831a019-066d-4aac-b1cc-22567cb129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dc2699-86c8-46ed-be6a-17aad96beb6a"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2a3db060-c7ed-4cfd-aa27-05226bd1c073}" ma:internalName="TaxCatchAll" ma:showField="CatchAllData" ma:web="85dc2699-86c8-46ed-be6a-17aad96beb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5dc2699-86c8-46ed-be6a-17aad96beb6a" xsi:nil="true"/>
    <lcf76f155ced4ddcb4097134ff3c332f xmlns="e5f0461a-b235-4712-9276-b926a10e4b20">
      <Terms xmlns="http://schemas.microsoft.com/office/infopath/2007/PartnerControls"/>
    </lcf76f155ced4ddcb4097134ff3c332f>
    <SharedWithUsers xmlns="85dc2699-86c8-46ed-be6a-17aad96beb6a">
      <UserInfo>
        <DisplayName>Aurelie DUVAL</DisplayName>
        <AccountId>42</AccountId>
        <AccountType/>
      </UserInfo>
      <UserInfo>
        <DisplayName>Christopher COUSINA</DisplayName>
        <AccountId>270</AccountId>
        <AccountType/>
      </UserInfo>
      <UserInfo>
        <DisplayName>Stephane BRUNET</DisplayName>
        <AccountId>43</AccountId>
        <AccountType/>
      </UserInfo>
      <UserInfo>
        <DisplayName>Alain LE ROY</DisplayName>
        <AccountId>41</AccountId>
        <AccountType/>
      </UserInfo>
      <UserInfo>
        <DisplayName>Marine DROUIN</DisplayName>
        <AccountId>102</AccountId>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69BE02-62D2-462E-880E-C56E2A97C7EF}">
  <ds:schemaRefs>
    <ds:schemaRef ds:uri="http://schemas.microsoft.com/DataMashup"/>
  </ds:schemaRefs>
</ds:datastoreItem>
</file>

<file path=customXml/itemProps2.xml><?xml version="1.0" encoding="utf-8"?>
<ds:datastoreItem xmlns:ds="http://schemas.openxmlformats.org/officeDocument/2006/customXml" ds:itemID="{4F867E30-A2DC-47E5-951D-C684D2C03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f0461a-b235-4712-9276-b926a10e4b20"/>
    <ds:schemaRef ds:uri="85dc2699-86c8-46ed-be6a-17aad96be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128179-472B-4D33-97CB-EDD0129D44F8}">
  <ds:schemaRef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db38052b-3759-4bd0-bd11-e801514f231e"/>
    <ds:schemaRef ds:uri="7d98181b-4f8a-4104-9c63-a32f098d1938"/>
    <ds:schemaRef ds:uri="http://purl.org/dc/terms/"/>
    <ds:schemaRef ds:uri="http://schemas.microsoft.com/office/2006/metadata/properties"/>
    <ds:schemaRef ds:uri="http://purl.org/dc/dcmitype/"/>
    <ds:schemaRef ds:uri="http://purl.org/dc/elements/1.1/"/>
    <ds:schemaRef ds:uri="85dc2699-86c8-46ed-be6a-17aad96beb6a"/>
    <ds:schemaRef ds:uri="e5f0461a-b235-4712-9276-b926a10e4b20"/>
  </ds:schemaRefs>
</ds:datastoreItem>
</file>

<file path=customXml/itemProps4.xml><?xml version="1.0" encoding="utf-8"?>
<ds:datastoreItem xmlns:ds="http://schemas.openxmlformats.org/officeDocument/2006/customXml" ds:itemID="{9F26F210-45CB-4FC4-9D8B-96DD64B9D2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POUR DEMARRER</vt:lpstr>
      <vt:lpstr>PDC simplifié</vt:lpstr>
      <vt:lpstr>NOTICE simplifiée</vt:lpstr>
      <vt:lpstr>PDC-détaillé</vt:lpstr>
      <vt:lpstr>NOTICE détaillée</vt:lpstr>
      <vt:lpstr>Feuil1</vt:lpstr>
    </vt:vector>
  </TitlesOfParts>
  <Manager/>
  <Company>AKTO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Alain LE ROY</dc:creator>
  <cp:keywords/>
  <dc:description/>
  <cp:lastModifiedBy>JOULIE NATHALIE</cp:lastModifiedBy>
  <cp:revision/>
  <dcterms:created xsi:type="dcterms:W3CDTF">2023-09-12T13:17:39Z</dcterms:created>
  <dcterms:modified xsi:type="dcterms:W3CDTF">2025-01-28T10:03:20Z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0x010100628FEF359317B84CAE4B69346D9AFBE1</vt:lpwstr>
  </property>
  <property fmtid="{D5CDD505-2E9C-101B-9397-08002B2CF9AE}" pid="3" name="MediaServiceImageTags">
    <vt:lpwstr/>
  </property>
</Properties>
</file>