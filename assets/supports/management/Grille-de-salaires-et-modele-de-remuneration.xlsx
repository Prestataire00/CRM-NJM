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9584b74b320a978c/Documents/CLIENTS OF SOUS TRAITANCE/INST DE LA PIERRE/COURS 2024/Management/Définir besoins en compétences/"/>
    </mc:Choice>
  </mc:AlternateContent>
  <xr:revisionPtr revIDLastSave="0" documentId="8_{2A86EA7E-FEB9-43F7-B87F-A9375DD8DBFE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Bon à savoir" sheetId="1" r:id="rId1"/>
    <sheet name="Checklist" sheetId="2" r:id="rId2"/>
    <sheet name="Tables personnalisées " sheetId="3" r:id="rId3"/>
    <sheet name="Etablir la grille interne" sheetId="4" r:id="rId4"/>
    <sheet name="Grille des salaires" sheetId="5" r:id="rId5"/>
    <sheet name="Bench externe des salaires" sheetId="6" r:id="rId6"/>
    <sheet name="Suivi de la grille" sheetId="7" r:id="rId7"/>
    <sheet name="Calculateur interne de rémunér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8" l="1"/>
  <c r="D26" i="8"/>
  <c r="C23" i="8"/>
  <c r="C20" i="8"/>
  <c r="C17" i="8"/>
  <c r="C14" i="8"/>
  <c r="C11" i="8"/>
  <c r="C26" i="8" s="1"/>
  <c r="J12" i="7"/>
  <c r="I12" i="7"/>
  <c r="G12" i="7"/>
  <c r="J11" i="7"/>
  <c r="I11" i="7"/>
  <c r="G11" i="7"/>
  <c r="J10" i="7"/>
  <c r="I10" i="7"/>
  <c r="G10" i="7"/>
  <c r="J9" i="7"/>
  <c r="I9" i="7"/>
  <c r="G9" i="7"/>
  <c r="J8" i="7"/>
  <c r="I8" i="7"/>
  <c r="G8" i="7"/>
  <c r="H10" i="6"/>
  <c r="F11" i="7" s="1"/>
  <c r="D10" i="6"/>
  <c r="C10" i="6"/>
  <c r="D9" i="6"/>
  <c r="H9" i="6" s="1"/>
  <c r="F12" i="7" s="1"/>
  <c r="C9" i="6"/>
  <c r="D8" i="6"/>
  <c r="C8" i="6"/>
  <c r="H8" i="6" s="1"/>
  <c r="F9" i="7" s="1"/>
  <c r="D7" i="6"/>
  <c r="C7" i="6"/>
  <c r="H7" i="6" s="1"/>
  <c r="W12" i="4"/>
  <c r="V12" i="4"/>
  <c r="U12" i="4"/>
  <c r="T12" i="4"/>
  <c r="S12" i="4"/>
  <c r="H12" i="7" s="1"/>
  <c r="L12" i="7" s="1"/>
  <c r="K12" i="4"/>
  <c r="N12" i="4" s="1"/>
  <c r="W11" i="4"/>
  <c r="V11" i="4"/>
  <c r="S11" i="4" s="1"/>
  <c r="H11" i="7" s="1"/>
  <c r="L11" i="7" s="1"/>
  <c r="U11" i="4"/>
  <c r="T11" i="4"/>
  <c r="N11" i="4"/>
  <c r="K11" i="4"/>
  <c r="E11" i="7" s="1"/>
  <c r="K11" i="7" s="1"/>
  <c r="W10" i="4"/>
  <c r="V10" i="4"/>
  <c r="U10" i="4"/>
  <c r="T10" i="4"/>
  <c r="K10" i="4"/>
  <c r="S10" i="4" s="1"/>
  <c r="H10" i="7" s="1"/>
  <c r="L10" i="7" s="1"/>
  <c r="W9" i="4"/>
  <c r="V9" i="4"/>
  <c r="U9" i="4"/>
  <c r="T9" i="4"/>
  <c r="N9" i="4"/>
  <c r="K9" i="4"/>
  <c r="S9" i="4" s="1"/>
  <c r="H9" i="7" s="1"/>
  <c r="L9" i="7" s="1"/>
  <c r="W8" i="4"/>
  <c r="V8" i="4"/>
  <c r="U8" i="4"/>
  <c r="T8" i="4"/>
  <c r="S8" i="4"/>
  <c r="H8" i="7" s="1"/>
  <c r="L8" i="7" s="1"/>
  <c r="K8" i="4"/>
  <c r="N8" i="4" s="1"/>
  <c r="F10" i="7" l="1"/>
  <c r="F8" i="7"/>
  <c r="B33" i="8"/>
  <c r="B34" i="8" s="1"/>
  <c r="B35" i="8" s="1"/>
  <c r="B36" i="8" s="1"/>
  <c r="B37" i="8" s="1"/>
  <c r="B38" i="8" s="1"/>
  <c r="C28" i="8"/>
  <c r="B28" i="8"/>
  <c r="N10" i="4"/>
  <c r="E8" i="7"/>
  <c r="K8" i="7" s="1"/>
  <c r="E9" i="7"/>
  <c r="K9" i="7" s="1"/>
  <c r="E10" i="7"/>
  <c r="K10" i="7" s="1"/>
  <c r="E12" i="7"/>
  <c r="K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En vert les modifications à apporter. NB : Ne pas modifier si vous n'avez pas encore d'idées précises à ce sujet.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7" authorId="0" shapeId="0" xr:uid="{00000000-0006-0000-0300-000001000000}">
      <text>
        <r>
          <rPr>
            <sz val="10"/>
            <color rgb="FF000000"/>
            <rFont val="Arial"/>
            <scheme val="minor"/>
          </rPr>
          <t xml:space="preserve">Les intitulés sont modifiables dans les tables personnalisées Onglet 3. Les montants et les définitions sont également personnalisables. </t>
        </r>
      </text>
    </comment>
  </commentList>
</comments>
</file>

<file path=xl/sharedStrings.xml><?xml version="1.0" encoding="utf-8"?>
<sst xmlns="http://schemas.openxmlformats.org/spreadsheetml/2006/main" count="317" uniqueCount="179">
  <si>
    <t>Lien vers le blog</t>
  </si>
  <si>
    <t xml:space="preserve">Notre nouvel outil va vous permettre de créer votre grille des salaires, assurer le suivi des salaires des collaborateurs et définir une rémunération adaptée lors d'un recrutement. </t>
  </si>
  <si>
    <t>Démarrer la grille des salaires</t>
  </si>
  <si>
    <t xml:space="preserve">Définition : </t>
  </si>
  <si>
    <t>La grille des salaires correspond à l’échelle des salaires dans une organisation. Ce document interne indique notamment quelle est la rémunération (minimum / maximum / median) pour chaque fonction, selon des critères que l’organisation souhaite prendre en compte (ancienneté, niveau de responsabilité, de formation, d’expérience, etc.).</t>
  </si>
  <si>
    <t xml:space="preserve">Les objectifs : </t>
  </si>
  <si>
    <t xml:space="preserve">Avoir une politique salariale cohérente, transparente et compréhensible. Cela permet à l'entreprise d'éviter l'arbitraire, limiter les conflits, les frustrations et les sentiments d'injustice. </t>
  </si>
  <si>
    <t xml:space="preserve">Comment la grille des salaires permet d'atteindre les objectifs ? </t>
  </si>
  <si>
    <r>
      <rPr>
        <b/>
        <sz val="10"/>
        <color theme="9"/>
        <rFont val="Arial"/>
      </rPr>
      <t xml:space="preserve">Transparence </t>
    </r>
    <r>
      <rPr>
        <sz val="10"/>
        <color rgb="FF434343"/>
        <rFont val="Arial"/>
      </rPr>
      <t>:</t>
    </r>
    <r>
      <rPr>
        <sz val="10"/>
        <color theme="1"/>
        <rFont val="Arial"/>
      </rPr>
      <t xml:space="preserve"> chacun sait comment fonctionne la rémunération de l’entreprise et peut se renseigner librement à ce sujet</t>
    </r>
  </si>
  <si>
    <r>
      <rPr>
        <b/>
        <sz val="10"/>
        <color theme="9"/>
        <rFont val="Arial"/>
      </rPr>
      <t xml:space="preserve">Equité et justice </t>
    </r>
    <r>
      <rPr>
        <sz val="10"/>
        <color theme="9"/>
        <rFont val="Arial"/>
      </rPr>
      <t>:</t>
    </r>
    <r>
      <rPr>
        <sz val="10"/>
        <color theme="1"/>
        <rFont val="Arial"/>
      </rPr>
      <t xml:space="preserve"> les rémunérations sont définies par les mêmes critères pour tout le monde et aucune n’est fixée arbitrairement ;</t>
    </r>
  </si>
  <si>
    <r>
      <rPr>
        <b/>
        <sz val="10"/>
        <color theme="9"/>
        <rFont val="Arial"/>
      </rPr>
      <t>Gestion masse salariale</t>
    </r>
    <r>
      <rPr>
        <sz val="10"/>
        <color theme="9"/>
        <rFont val="Arial"/>
      </rPr>
      <t xml:space="preserve">: </t>
    </r>
    <r>
      <rPr>
        <sz val="10"/>
        <color theme="1"/>
        <rFont val="Arial"/>
      </rPr>
      <t>lorsque l’employeur recrute un nouveau profil, il sait dans quelle case du modèle de rémunération s'intégrera ce salarié. Il peut donc anticiper et contrôler les coûts</t>
    </r>
  </si>
  <si>
    <r>
      <rPr>
        <b/>
        <sz val="10"/>
        <color theme="9"/>
        <rFont val="Arial"/>
      </rPr>
      <t>Attractivité et marque employeur :</t>
    </r>
    <r>
      <rPr>
        <sz val="10"/>
        <color theme="1"/>
        <rFont val="Arial"/>
      </rPr>
      <t xml:space="preserve"> Votre entreprise peut paraître très attractive financièrement pour les potentiels talents désireux de la rejoindre à condition de bien communiquer</t>
    </r>
  </si>
  <si>
    <t>Démarrer la personnalisation de l'outil</t>
  </si>
  <si>
    <r>
      <rPr>
        <sz val="10"/>
        <color rgb="FFEA4335"/>
        <rFont val="Arial"/>
      </rPr>
      <t xml:space="preserve">Pour en savoir plus, consultez notre article </t>
    </r>
    <r>
      <rPr>
        <u/>
        <sz val="10"/>
        <color rgb="FFEA4335"/>
        <rFont val="Arial"/>
      </rPr>
      <t>https://laboiteaoutilsdesrh.fr/?p=16308</t>
    </r>
  </si>
  <si>
    <t>5 ETAPES POUR CONSTRUIRE UNE GRILLE AUTOMATISEE</t>
  </si>
  <si>
    <t xml:space="preserve">Vous trouverez, ci-dessous les 5 étapes à suivre pour comprendre l'outil et les liens directs à chaque étape. </t>
  </si>
  <si>
    <r>
      <rPr>
        <b/>
        <sz val="10"/>
        <color rgb="FF042040"/>
        <rFont val="Arial"/>
      </rPr>
      <t>Etape 1</t>
    </r>
    <r>
      <rPr>
        <sz val="10"/>
        <color rgb="FF000000"/>
        <rFont val="Arial"/>
        <scheme val="minor"/>
      </rPr>
      <t xml:space="preserve">- Visualiser les </t>
    </r>
    <r>
      <rPr>
        <u/>
        <sz val="10"/>
        <color theme="9"/>
        <rFont val="Arial"/>
      </rPr>
      <t>tables personnalisées et les modifier pour plus de personnalisation</t>
    </r>
  </si>
  <si>
    <r>
      <rPr>
        <b/>
        <sz val="10"/>
        <color rgb="FF042040"/>
        <rFont val="Arial"/>
      </rPr>
      <t>Etape 2</t>
    </r>
    <r>
      <rPr>
        <sz val="10"/>
        <color theme="1"/>
        <rFont val="Arial"/>
      </rPr>
      <t xml:space="preserve">- Préparation de votre grille des salaires : </t>
    </r>
  </si>
  <si>
    <r>
      <t xml:space="preserve">Extraire les données de votre logiciel de paie en suivant les colonnes indiquées (A à J) dans </t>
    </r>
    <r>
      <rPr>
        <u/>
        <sz val="10"/>
        <color theme="9"/>
        <rFont val="Arial"/>
      </rPr>
      <t>Etablir la grille interne</t>
    </r>
    <r>
      <rPr>
        <u/>
        <sz val="10"/>
        <color rgb="FF1155CC"/>
        <rFont val="Arial"/>
      </rPr>
      <t xml:space="preserve">. </t>
    </r>
  </si>
  <si>
    <t xml:space="preserve">Compléter les éléments manquants à l'aide d'un groupe de travail pour les colonnes O à R.  (RH, Managers, Direction ...) Votre GPEC et l'évaluation lors des entretiens sont des supports pour plus de subjectivité. </t>
  </si>
  <si>
    <t xml:space="preserve">Le but est de définir des rémunérations de référence (calcul automatique) selon la formule suivante : </t>
  </si>
  <si>
    <t xml:space="preserve">Salaire de référence x Indice Expérience + Bonus Management + Bonus Ancienneté x Indice de Zone = Rémunération Brute </t>
  </si>
  <si>
    <t xml:space="preserve">Décorréler les données permettront de créer une grille de salaires par poste / par équipe pour réaliser un suivi plus fin des salaires et assurer la cohérence. </t>
  </si>
  <si>
    <r>
      <rPr>
        <b/>
        <sz val="10"/>
        <color rgb="FF042040"/>
        <rFont val="Arial"/>
      </rPr>
      <t>Etape 3</t>
    </r>
    <r>
      <rPr>
        <sz val="10"/>
        <color rgb="FF000000"/>
        <rFont val="Arial"/>
        <scheme val="minor"/>
      </rPr>
      <t xml:space="preserve">- Visualiser </t>
    </r>
    <r>
      <rPr>
        <u/>
        <sz val="10"/>
        <color theme="9"/>
        <rFont val="Arial"/>
      </rPr>
      <t>vos grilles par poste ou par secteur</t>
    </r>
    <r>
      <rPr>
        <sz val="10"/>
        <color rgb="FF000000"/>
        <rFont val="Arial"/>
        <scheme val="minor"/>
      </rPr>
      <t xml:space="preserve"> en fonction des rémunérations de référence et les rémunérations brutes. </t>
    </r>
  </si>
  <si>
    <r>
      <rPr>
        <b/>
        <sz val="10"/>
        <color rgb="FF042040"/>
        <rFont val="Arial"/>
      </rPr>
      <t>Etape 4</t>
    </r>
    <r>
      <rPr>
        <sz val="10"/>
        <color rgb="FF000000"/>
        <rFont val="Arial"/>
        <scheme val="minor"/>
      </rPr>
      <t xml:space="preserve">- Vérifier la cohérence des salaires en fonction du </t>
    </r>
    <r>
      <rPr>
        <u/>
        <sz val="10"/>
        <color theme="9"/>
        <rFont val="Arial"/>
      </rPr>
      <t>benchmark</t>
    </r>
  </si>
  <si>
    <r>
      <rPr>
        <b/>
        <sz val="10"/>
        <rFont val="Arial"/>
      </rPr>
      <t>Etape 5</t>
    </r>
    <r>
      <rPr>
        <sz val="10"/>
        <color rgb="FF000000"/>
        <rFont val="Arial"/>
        <scheme val="minor"/>
      </rPr>
      <t xml:space="preserve">- Réaliser une </t>
    </r>
    <r>
      <rPr>
        <u/>
        <sz val="10"/>
        <color theme="9"/>
        <rFont val="Arial"/>
      </rPr>
      <t>revue des salaires</t>
    </r>
  </si>
  <si>
    <r>
      <rPr>
        <b/>
        <sz val="12"/>
        <rFont val="Arial"/>
      </rPr>
      <t xml:space="preserve">Votre système de rémunération est cohérent. Lors de vos embauches n'oubliez pas le </t>
    </r>
    <r>
      <rPr>
        <b/>
        <u/>
        <sz val="12"/>
        <color rgb="FF46BDC6"/>
        <rFont val="Arial"/>
      </rPr>
      <t>simulateur de rémunération.</t>
    </r>
  </si>
  <si>
    <t xml:space="preserve">Il est recommandé de porter connaissance la grille aux salariés après validation de la direction. </t>
  </si>
  <si>
    <t>Tables des éléments personnalisables</t>
  </si>
  <si>
    <t xml:space="preserve">Ancienneté &amp; Maitrise / Compétences sur le poste </t>
  </si>
  <si>
    <t>Paliers</t>
  </si>
  <si>
    <t>Nom du palier</t>
  </si>
  <si>
    <t>Définition du palier</t>
  </si>
  <si>
    <t>Bonus</t>
  </si>
  <si>
    <t>Palier A</t>
  </si>
  <si>
    <t>Etude / Prise de poste</t>
  </si>
  <si>
    <t>intégration humaine et organisationnelle</t>
  </si>
  <si>
    <t>Palier B</t>
  </si>
  <si>
    <t>Conquête / Vers l'autonomie</t>
  </si>
  <si>
    <t>compréhension du business de la société et apport de réponses ajustées aux nécéssités court terme et compréhension de ses propres limites.</t>
  </si>
  <si>
    <t>Palier C</t>
  </si>
  <si>
    <t>Prospérité / Autonome</t>
  </si>
  <si>
    <t>maîtrise des enjeux du business et transposition pratique dans son pérmiètre d'activité en soutenant notamment activement les collègues.</t>
  </si>
  <si>
    <t>Palier D</t>
  </si>
  <si>
    <t>Étoile du nord / Expert</t>
  </si>
  <si>
    <t>Influenceur stratégique principalement dans son pôle par sa maîtrise du secteur et ses qualités humaines.</t>
  </si>
  <si>
    <t>Palier E</t>
  </si>
  <si>
    <t>Soleil / Maestro</t>
  </si>
  <si>
    <t>influenceur à un niveau transversal, débloque les situations et questions les plus complexes. Impose son point de vue par la confiance (humaine et technique) qu'il inspire.</t>
  </si>
  <si>
    <t>Palier F</t>
  </si>
  <si>
    <t>Eureka / Magicien</t>
  </si>
  <si>
    <t>passage de l'innovation à l'invention et capacité à gérer ce changement en douceur.</t>
  </si>
  <si>
    <t>Experience</t>
  </si>
  <si>
    <t>Définition</t>
  </si>
  <si>
    <t>Indice</t>
  </si>
  <si>
    <t>Apprentissage</t>
  </si>
  <si>
    <t>Phase d'apprentissage, de transposition pratique des compétences théoriques.</t>
  </si>
  <si>
    <t>Acquisition des compétences</t>
  </si>
  <si>
    <t>Phase d'acquisition approfondie des compétences métier et de prise d'autonomie.</t>
  </si>
  <si>
    <t>Prise de recul</t>
  </si>
  <si>
    <t>Phase de prise de recul sur des compétences maitrisées : recherche d'alternatives et solutions innovantes dans son périmètre métier.</t>
  </si>
  <si>
    <t>Integration connaissances transversales</t>
  </si>
  <si>
    <t>Phase d'intégration de connaissances transversales, de transposition des projets société dans sa stratégie et ses objectifs.</t>
  </si>
  <si>
    <t>Innovation</t>
  </si>
  <si>
    <t>Phase d'innovation sur un pérmimètre fonction large avec maîtrise des enjeux et impacts (matériels et humains) lors de l'implémentation.</t>
  </si>
  <si>
    <t>Innovation externe</t>
  </si>
  <si>
    <t>Phase d'innovation sur un périmètre dont les enjeux dépassent la seule entreprise : impacte sa branche métier dans son ensemble.</t>
  </si>
  <si>
    <t>Management</t>
  </si>
  <si>
    <t>Montant Bonus</t>
  </si>
  <si>
    <t>Sans management</t>
  </si>
  <si>
    <t>Chef d'équipe</t>
  </si>
  <si>
    <t>Manager - 5</t>
  </si>
  <si>
    <t>Manager + 5</t>
  </si>
  <si>
    <t>Responsable / head</t>
  </si>
  <si>
    <t>VP / Directeur</t>
  </si>
  <si>
    <t>Zones Géographiques</t>
  </si>
  <si>
    <t>Zones</t>
  </si>
  <si>
    <t>Nom de la zone</t>
  </si>
  <si>
    <t>Zone 1</t>
  </si>
  <si>
    <t>Paris</t>
  </si>
  <si>
    <t>Zone 2</t>
  </si>
  <si>
    <t>Province</t>
  </si>
  <si>
    <t>Zone 3</t>
  </si>
  <si>
    <t xml:space="preserve">Télétravail 100% </t>
  </si>
  <si>
    <t>Zone 4</t>
  </si>
  <si>
    <t>Hybride</t>
  </si>
  <si>
    <t>Zone 5</t>
  </si>
  <si>
    <t>Lyon / Marseille</t>
  </si>
  <si>
    <t>Retour aux étapes</t>
  </si>
  <si>
    <t>Données d'analyse pour créer une grille de salaires</t>
  </si>
  <si>
    <t>Nom</t>
  </si>
  <si>
    <t>Prénom</t>
  </si>
  <si>
    <t xml:space="preserve">Secteur / Equipe </t>
  </si>
  <si>
    <t>Poste</t>
  </si>
  <si>
    <t>CSP</t>
  </si>
  <si>
    <t xml:space="preserve">Classification </t>
  </si>
  <si>
    <t>Date d'entrée au poste</t>
  </si>
  <si>
    <t>Rémunération Fixe</t>
  </si>
  <si>
    <t>Rémunération Variable</t>
  </si>
  <si>
    <t>Primes brutes</t>
  </si>
  <si>
    <t>Rémunération Brute</t>
  </si>
  <si>
    <t>Indemnités Net</t>
  </si>
  <si>
    <t>Participation / Intéressement</t>
  </si>
  <si>
    <t xml:space="preserve">Charges Sociales </t>
  </si>
  <si>
    <t>Ancienneté &amp; Compétences</t>
  </si>
  <si>
    <t>Lieu de travail</t>
  </si>
  <si>
    <t>Salaire de référence</t>
  </si>
  <si>
    <t>Indice Expérience</t>
  </si>
  <si>
    <t>Bonus Ancienneté</t>
  </si>
  <si>
    <t>Bonus Management</t>
  </si>
  <si>
    <t>Indice Zone</t>
  </si>
  <si>
    <t>Dupont</t>
  </si>
  <si>
    <t>Thierry</t>
  </si>
  <si>
    <t>Ressources Humaines</t>
  </si>
  <si>
    <t>Chargé RH</t>
  </si>
  <si>
    <t>Employé</t>
  </si>
  <si>
    <t>Doly</t>
  </si>
  <si>
    <t>Albane</t>
  </si>
  <si>
    <t>RRH</t>
  </si>
  <si>
    <t>Cadre</t>
  </si>
  <si>
    <t>Hyu</t>
  </si>
  <si>
    <t>Tessa</t>
  </si>
  <si>
    <t>Troppo</t>
  </si>
  <si>
    <t>Freddy</t>
  </si>
  <si>
    <t>Marketing</t>
  </si>
  <si>
    <t>Responsable Marketing</t>
  </si>
  <si>
    <t>Argon</t>
  </si>
  <si>
    <t>Lola</t>
  </si>
  <si>
    <t>Chargé Marketing</t>
  </si>
  <si>
    <t xml:space="preserve">Données calculées </t>
  </si>
  <si>
    <t>Grille des rémunérations et des salaires de référence</t>
  </si>
  <si>
    <r>
      <rPr>
        <b/>
        <sz val="12"/>
        <color rgb="FF46BDC6"/>
        <rFont val="Arial"/>
      </rPr>
      <t xml:space="preserve">TABLEAUX DE REFERENCE </t>
    </r>
    <r>
      <rPr>
        <sz val="14"/>
        <color rgb="FF46BDC6"/>
        <rFont val="Arial"/>
      </rPr>
      <t>REMUNERATION BRUTE</t>
    </r>
  </si>
  <si>
    <t>COUNTA de Nom</t>
  </si>
  <si>
    <t>MIN de Rémunération Brute</t>
  </si>
  <si>
    <t>MEDIAN de Rémunération Brute</t>
  </si>
  <si>
    <t>MAX de Rémunération Brute</t>
  </si>
  <si>
    <r>
      <rPr>
        <b/>
        <sz val="12"/>
        <color rgb="FFFBBC04"/>
        <rFont val="Arial"/>
      </rPr>
      <t xml:space="preserve">TABLEAUX DES </t>
    </r>
    <r>
      <rPr>
        <sz val="16"/>
        <color rgb="FFFBBC04"/>
        <rFont val="Arial"/>
      </rPr>
      <t>REMUNERATIONS DE REFERENCE (recalculé via les indices &amp; bonus)</t>
    </r>
  </si>
  <si>
    <t>MIN de Salaire de référence</t>
  </si>
  <si>
    <t>MEDIAN de Salaire de référence</t>
  </si>
  <si>
    <t>MAX de Salaire de référence</t>
  </si>
  <si>
    <t>Benchmark des salaires constatés</t>
  </si>
  <si>
    <t>Postes dans l'entreprise</t>
  </si>
  <si>
    <t>Min Conventionnel</t>
  </si>
  <si>
    <t>Min Salaire de Ref Interne</t>
  </si>
  <si>
    <t xml:space="preserve">Min Rem Brute Interne </t>
  </si>
  <si>
    <t>POLE EMPLOI APEC</t>
  </si>
  <si>
    <t>INDEED</t>
  </si>
  <si>
    <t>Site métier / branche d'activités</t>
  </si>
  <si>
    <t>Moyenne</t>
  </si>
  <si>
    <t>Date Révision</t>
  </si>
  <si>
    <t>Commentaires</t>
  </si>
  <si>
    <t>Choisissez des offres types et dans votre zone géographique</t>
  </si>
  <si>
    <t>...</t>
  </si>
  <si>
    <t>Colonne A saisir</t>
  </si>
  <si>
    <t>Colonne A saisir si besoin</t>
  </si>
  <si>
    <t xml:space="preserve">Revue des salaires liée au minimum constaté. </t>
  </si>
  <si>
    <t>Secteur</t>
  </si>
  <si>
    <t>Moyenne Marché</t>
  </si>
  <si>
    <t>Min Secteur</t>
  </si>
  <si>
    <t>Salaire reference</t>
  </si>
  <si>
    <t>Min Ref Poste</t>
  </si>
  <si>
    <t>Min Ref Secteur</t>
  </si>
  <si>
    <t>Commentaire Marché</t>
  </si>
  <si>
    <t>Commentaire sur le poste</t>
  </si>
  <si>
    <t>Simulation d'une rémunération sur la base de la grille salariale de l'entreprise</t>
  </si>
  <si>
    <t xml:space="preserve">Sur quel poste recrutez-vous ? </t>
  </si>
  <si>
    <t>Min Sal de références</t>
  </si>
  <si>
    <t>Dans quel service ?</t>
  </si>
  <si>
    <t>Min secteur de références</t>
  </si>
  <si>
    <t xml:space="preserve">Quel niveau d'expérience attendez-vous ? </t>
  </si>
  <si>
    <t xml:space="preserve">Ce poste contient un rôle de manager ? </t>
  </si>
  <si>
    <t xml:space="preserve">Ou le collaborateur sera situé ? </t>
  </si>
  <si>
    <t>Minimum Conventionnel</t>
  </si>
  <si>
    <t>Adequation marché</t>
  </si>
  <si>
    <t>Fourchette de négociation avec le candidat ?</t>
  </si>
  <si>
    <t>Calcul de l'impact de l'évolution des compétences et poste</t>
  </si>
  <si>
    <t>Avantages sociaux dans l'entreprise Montant estimé</t>
  </si>
  <si>
    <t>Mutuelle</t>
  </si>
  <si>
    <t>Tickets Resto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</si>
</sst>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[$€-1]"/>
    <numFmt numFmtId="165" formatCode="#,##0.00\ [$€-1]"/>
  </numFmts>
  <fonts count="47" x14ac:knownFonts="1">
    <font>
      <sz val="10"/>
      <color rgb="FF000000"/>
      <name val="Arial"/>
      <scheme val="minor"/>
    </font>
    <font>
      <i/>
      <sz val="12"/>
      <color rgb="FF333333"/>
      <name val="Arial"/>
    </font>
    <font>
      <i/>
      <u/>
      <sz val="12"/>
      <color rgb="FF042040"/>
      <name val="Arial"/>
    </font>
    <font>
      <b/>
      <sz val="11"/>
      <color rgb="FF042040"/>
      <name val="Arial"/>
    </font>
    <font>
      <b/>
      <sz val="10"/>
      <color rgb="FF000000"/>
      <name val="Arial"/>
    </font>
    <font>
      <b/>
      <u/>
      <sz val="10"/>
      <color theme="9"/>
      <name val="Arial"/>
    </font>
    <font>
      <b/>
      <i/>
      <sz val="10"/>
      <color rgb="FFF5F8FA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theme="5"/>
      <name val="Arial"/>
      <scheme val="minor"/>
    </font>
    <font>
      <u/>
      <sz val="10"/>
      <color theme="5"/>
      <name val="Arial"/>
    </font>
    <font>
      <i/>
      <u/>
      <sz val="12"/>
      <color rgb="FF1155CC"/>
      <name val="Arial"/>
    </font>
    <font>
      <b/>
      <sz val="12"/>
      <color rgb="FF042040"/>
      <name val="Arial"/>
      <scheme val="minor"/>
    </font>
    <font>
      <u/>
      <sz val="10"/>
      <color rgb="FF0000FF"/>
      <name val="Arial"/>
    </font>
    <font>
      <b/>
      <i/>
      <sz val="12"/>
      <color theme="6"/>
      <name val="Arial"/>
      <scheme val="minor"/>
    </font>
    <font>
      <b/>
      <u/>
      <sz val="12"/>
      <color rgb="FF0000FF"/>
      <name val="Arial"/>
    </font>
    <font>
      <b/>
      <sz val="14"/>
      <color theme="1"/>
      <name val="Arial"/>
      <scheme val="minor"/>
    </font>
    <font>
      <i/>
      <u/>
      <sz val="12"/>
      <color rgb="FF042040"/>
      <name val="Arial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u/>
      <sz val="12"/>
      <color theme="6"/>
      <name val="Arial"/>
    </font>
    <font>
      <b/>
      <u/>
      <sz val="12"/>
      <color theme="6"/>
      <name val="Arial"/>
    </font>
    <font>
      <sz val="10"/>
      <color rgb="FF042040"/>
      <name val="Arial"/>
      <scheme val="minor"/>
    </font>
    <font>
      <sz val="10"/>
      <color rgb="FF666666"/>
      <name val="Arial"/>
      <scheme val="minor"/>
    </font>
    <font>
      <i/>
      <sz val="8"/>
      <color rgb="FF666666"/>
      <name val="Arial"/>
      <scheme val="minor"/>
    </font>
    <font>
      <b/>
      <sz val="12"/>
      <color theme="9"/>
      <name val="Arial"/>
      <scheme val="minor"/>
    </font>
    <font>
      <b/>
      <sz val="12"/>
      <color theme="6"/>
      <name val="Arial"/>
      <scheme val="minor"/>
    </font>
    <font>
      <sz val="10"/>
      <color rgb="FF0C343D"/>
      <name val="Arial"/>
      <scheme val="minor"/>
    </font>
    <font>
      <sz val="10"/>
      <color rgb="FF134F5C"/>
      <name val="Arial"/>
      <scheme val="minor"/>
    </font>
    <font>
      <i/>
      <sz val="10"/>
      <color rgb="FF999999"/>
      <name val="Arial"/>
      <scheme val="minor"/>
    </font>
    <font>
      <b/>
      <i/>
      <sz val="10"/>
      <color theme="1"/>
      <name val="Arial"/>
      <scheme val="minor"/>
    </font>
    <font>
      <b/>
      <sz val="10"/>
      <color theme="9"/>
      <name val="Arial"/>
    </font>
    <font>
      <sz val="10"/>
      <color rgb="FF434343"/>
      <name val="Arial"/>
    </font>
    <font>
      <sz val="10"/>
      <color theme="1"/>
      <name val="Arial"/>
    </font>
    <font>
      <sz val="10"/>
      <color theme="9"/>
      <name val="Arial"/>
    </font>
    <font>
      <sz val="10"/>
      <color rgb="FFEA4335"/>
      <name val="Arial"/>
    </font>
    <font>
      <u/>
      <sz val="10"/>
      <color rgb="FFEA4335"/>
      <name val="Arial"/>
    </font>
    <font>
      <b/>
      <sz val="10"/>
      <color rgb="FF042040"/>
      <name val="Arial"/>
    </font>
    <font>
      <u/>
      <sz val="10"/>
      <color theme="9"/>
      <name val="Arial"/>
    </font>
    <font>
      <u/>
      <sz val="10"/>
      <color rgb="FF1155CC"/>
      <name val="Arial"/>
    </font>
    <font>
      <b/>
      <sz val="10"/>
      <name val="Arial"/>
    </font>
    <font>
      <b/>
      <sz val="12"/>
      <name val="Arial"/>
    </font>
    <font>
      <b/>
      <u/>
      <sz val="12"/>
      <color rgb="FF46BDC6"/>
      <name val="Arial"/>
    </font>
    <font>
      <b/>
      <sz val="12"/>
      <color rgb="FF46BDC6"/>
      <name val="Arial"/>
    </font>
    <font>
      <sz val="14"/>
      <color rgb="FF46BDC6"/>
      <name val="Arial"/>
    </font>
    <font>
      <b/>
      <sz val="12"/>
      <color rgb="FFFBBC04"/>
      <name val="Arial"/>
    </font>
    <font>
      <sz val="16"/>
      <color rgb="FFFBBC04"/>
      <name val="Arial"/>
    </font>
  </fonts>
  <fills count="8">
    <fill>
      <patternFill patternType="none"/>
    </fill>
    <fill>
      <patternFill patternType="gray125"/>
    </fill>
    <fill>
      <patternFill patternType="solid">
        <fgColor rgb="FF042040"/>
        <bgColor rgb="FF042040"/>
      </patternFill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BBC04"/>
        <bgColor rgb="FFFBBC04"/>
      </patternFill>
    </fill>
  </fills>
  <borders count="9">
    <border>
      <left/>
      <right/>
      <top/>
      <bottom/>
      <diagonal/>
    </border>
    <border>
      <left style="thin">
        <color rgb="FF46BDC6"/>
      </left>
      <right/>
      <top style="thin">
        <color rgb="FF46BDC6"/>
      </top>
      <bottom/>
      <diagonal/>
    </border>
    <border>
      <left/>
      <right/>
      <top style="thin">
        <color rgb="FF46BDC6"/>
      </top>
      <bottom/>
      <diagonal/>
    </border>
    <border>
      <left/>
      <right style="thin">
        <color rgb="FF46BDC6"/>
      </right>
      <top style="thin">
        <color rgb="FF46BDC6"/>
      </top>
      <bottom/>
      <diagonal/>
    </border>
    <border>
      <left style="thin">
        <color rgb="FF46BDC6"/>
      </left>
      <right/>
      <top/>
      <bottom/>
      <diagonal/>
    </border>
    <border>
      <left/>
      <right style="thin">
        <color rgb="FF46BDC6"/>
      </right>
      <top/>
      <bottom/>
      <diagonal/>
    </border>
    <border>
      <left style="thin">
        <color rgb="FF46BDC6"/>
      </left>
      <right/>
      <top/>
      <bottom style="thin">
        <color rgb="FF46BDC6"/>
      </bottom>
      <diagonal/>
    </border>
    <border>
      <left/>
      <right/>
      <top/>
      <bottom style="thin">
        <color rgb="FF46BDC6"/>
      </bottom>
      <diagonal/>
    </border>
    <border>
      <left/>
      <right style="thin">
        <color rgb="FF46BDC6"/>
      </right>
      <top/>
      <bottom style="thin">
        <color rgb="FF46BDC6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9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164" fontId="8" fillId="5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 wrapText="1"/>
    </xf>
    <xf numFmtId="164" fontId="8" fillId="4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14" fontId="23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center"/>
    </xf>
    <xf numFmtId="0" fontId="23" fillId="0" borderId="4" xfId="0" applyFont="1" applyBorder="1"/>
    <xf numFmtId="0" fontId="23" fillId="0" borderId="5" xfId="0" applyFont="1" applyBorder="1"/>
    <xf numFmtId="165" fontId="23" fillId="0" borderId="0" xfId="0" applyNumberFormat="1" applyFont="1"/>
    <xf numFmtId="164" fontId="23" fillId="0" borderId="0" xfId="0" applyNumberFormat="1" applyFont="1" applyAlignment="1">
      <alignment horizontal="center"/>
    </xf>
    <xf numFmtId="0" fontId="23" fillId="0" borderId="6" xfId="0" applyFont="1" applyBorder="1"/>
    <xf numFmtId="0" fontId="23" fillId="0" borderId="7" xfId="0" applyFont="1" applyBorder="1"/>
    <xf numFmtId="0" fontId="23" fillId="0" borderId="8" xfId="0" applyFont="1" applyBorder="1"/>
    <xf numFmtId="0" fontId="24" fillId="0" borderId="0" xfId="0" applyFont="1"/>
    <xf numFmtId="0" fontId="1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5" fontId="27" fillId="6" borderId="0" xfId="0" applyNumberFormat="1" applyFont="1" applyFill="1" applyAlignment="1">
      <alignment horizontal="center"/>
    </xf>
    <xf numFmtId="165" fontId="8" fillId="6" borderId="0" xfId="0" applyNumberFormat="1" applyFont="1" applyFill="1" applyAlignment="1">
      <alignment horizontal="center"/>
    </xf>
    <xf numFmtId="165" fontId="28" fillId="0" borderId="0" xfId="0" applyNumberFormat="1" applyFont="1" applyAlignment="1">
      <alignment horizontal="center"/>
    </xf>
    <xf numFmtId="14" fontId="8" fillId="6" borderId="0" xfId="0" applyNumberFormat="1" applyFont="1" applyFill="1" applyAlignment="1">
      <alignment horizontal="center"/>
    </xf>
    <xf numFmtId="0" fontId="29" fillId="0" borderId="0" xfId="0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5" fontId="18" fillId="7" borderId="0" xfId="0" applyNumberFormat="1" applyFont="1" applyFill="1" applyAlignment="1">
      <alignment horizontal="center"/>
    </xf>
    <xf numFmtId="9" fontId="19" fillId="6" borderId="0" xfId="0" applyNumberFormat="1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18" fillId="3" borderId="0" xfId="0" applyFont="1" applyFill="1" applyAlignment="1">
      <alignment horizontal="center"/>
    </xf>
    <xf numFmtId="0" fontId="20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0" fillId="0" borderId="0" xfId="0" applyFont="1" applyAlignment="1">
      <alignment horizontal="center"/>
    </xf>
  </cellXfs>
  <cellStyles count="1">
    <cellStyle name="Normal" xfId="0" builtinId="0"/>
  </cellStyles>
  <dxfs count="3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theme="9"/>
          <bgColor theme="9"/>
        </patternFill>
      </fill>
    </dxf>
  </dxfs>
  <tableStyles count="12">
    <tableStyle name="Etablir la grille interne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Grille des salaires-style" pivot="0" count="3" xr9:uid="{00000000-0011-0000-FFFF-FFFF01000000}">
      <tableStyleElement type="headerRow" dxfId="32"/>
      <tableStyleElement type="firstRowStripe" dxfId="31"/>
      <tableStyleElement type="secondRowStripe" dxfId="30"/>
    </tableStyle>
    <tableStyle name="Grille des salaires-style 2" pivot="0" count="3" xr9:uid="{00000000-0011-0000-FFFF-FFFF02000000}">
      <tableStyleElement type="headerRow" dxfId="29"/>
      <tableStyleElement type="firstRowStripe" dxfId="28"/>
      <tableStyleElement type="secondRowStripe" dxfId="27"/>
    </tableStyle>
    <tableStyle name="Grille des salaires-style 3" pivot="0" count="3" xr9:uid="{00000000-0011-0000-FFFF-FFFF03000000}">
      <tableStyleElement type="headerRow" dxfId="26"/>
      <tableStyleElement type="firstRowStripe" dxfId="25"/>
      <tableStyleElement type="secondRowStripe" dxfId="24"/>
    </tableStyle>
    <tableStyle name="Grille des salaires-style 4" pivot="0" count="3" xr9:uid="{00000000-0011-0000-FFFF-FFFF04000000}">
      <tableStyleElement type="headerRow" dxfId="23"/>
      <tableStyleElement type="firstRowStripe" dxfId="22"/>
      <tableStyleElement type="secondRowStripe" dxfId="21"/>
    </tableStyle>
    <tableStyle name="Bench externe des salaires-style" pivot="0" count="3" xr9:uid="{00000000-0011-0000-FFFF-FFFF05000000}">
      <tableStyleElement type="headerRow" dxfId="20"/>
      <tableStyleElement type="firstRowStripe" dxfId="19"/>
      <tableStyleElement type="secondRowStripe" dxfId="18"/>
    </tableStyle>
    <tableStyle name="Suivi de la grille-style" pivot="0" count="3" xr9:uid="{00000000-0011-0000-FFFF-FFFF06000000}">
      <tableStyleElement type="headerRow" dxfId="17"/>
      <tableStyleElement type="firstRowStripe" dxfId="16"/>
      <tableStyleElement type="secondRowStripe" dxfId="15"/>
    </tableStyle>
    <tableStyle name="Calculateur interne de rémunéra-style" pivot="0" count="3" xr9:uid="{00000000-0011-0000-FFFF-FFFF07000000}">
      <tableStyleElement type="headerRow" dxfId="14"/>
      <tableStyleElement type="firstRowStripe" dxfId="13"/>
      <tableStyleElement type="secondRowStripe" dxfId="12"/>
    </tableStyle>
    <tableStyle name="Calculateur interne de rémunéra-style 2" pivot="0" count="3" xr9:uid="{00000000-0011-0000-FFFF-FFFF08000000}">
      <tableStyleElement type="headerRow" dxfId="11"/>
      <tableStyleElement type="firstRowStripe" dxfId="10"/>
      <tableStyleElement type="secondRowStripe" dxfId="9"/>
    </tableStyle>
    <tableStyle name="Calculateur interne de rémunéra-style 3" pivot="0" count="3" xr9:uid="{00000000-0011-0000-FFFF-FFFF09000000}">
      <tableStyleElement type="headerRow" dxfId="8"/>
      <tableStyleElement type="firstRowStripe" dxfId="7"/>
      <tableStyleElement type="secondRowStripe" dxfId="6"/>
    </tableStyle>
    <tableStyle name="Calculateur interne de rémunéra-style 4" pivot="0" count="3" xr9:uid="{00000000-0011-0000-FFFF-FFFF0A000000}">
      <tableStyleElement type="headerRow" dxfId="5"/>
      <tableStyleElement type="firstRowStripe" dxfId="4"/>
      <tableStyleElement type="secondRowStripe" dxfId="3"/>
    </tableStyle>
    <tableStyle name="Calculateur interne de rémunéra-style 5" pivot="0" count="3" xr9:uid="{00000000-0011-0000-FFFF-FFFF0B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152400</xdr:rowOff>
    </xdr:from>
    <xdr:ext cx="2628900" cy="333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2628900" cy="333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1485900</xdr:colOff>
      <xdr:row>1</xdr:row>
      <xdr:rowOff>47625</xdr:rowOff>
    </xdr:from>
    <xdr:ext cx="2628900" cy="333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1485900</xdr:colOff>
      <xdr:row>1</xdr:row>
      <xdr:rowOff>47625</xdr:rowOff>
    </xdr:from>
    <xdr:ext cx="2628900" cy="333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1485900</xdr:colOff>
      <xdr:row>0</xdr:row>
      <xdr:rowOff>47625</xdr:rowOff>
    </xdr:from>
    <xdr:ext cx="2628900" cy="333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1485900</xdr:colOff>
      <xdr:row>0</xdr:row>
      <xdr:rowOff>47625</xdr:rowOff>
    </xdr:from>
    <xdr:ext cx="2628900" cy="333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1485900</xdr:colOff>
      <xdr:row>1</xdr:row>
      <xdr:rowOff>47625</xdr:rowOff>
    </xdr:from>
    <xdr:ext cx="2628900" cy="333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2095500</xdr:colOff>
      <xdr:row>0</xdr:row>
      <xdr:rowOff>114300</xdr:rowOff>
    </xdr:from>
    <xdr:ext cx="2628900" cy="333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W45">
  <tableColumns count="23">
    <tableColumn id="1" xr3:uid="{00000000-0010-0000-0000-000001000000}" name="Nom"/>
    <tableColumn id="2" xr3:uid="{00000000-0010-0000-0000-000002000000}" name="Prénom"/>
    <tableColumn id="3" xr3:uid="{00000000-0010-0000-0000-000003000000}" name="Secteur / Equipe "/>
    <tableColumn id="4" xr3:uid="{00000000-0010-0000-0000-000004000000}" name="Poste"/>
    <tableColumn id="5" xr3:uid="{00000000-0010-0000-0000-000005000000}" name="CSP"/>
    <tableColumn id="6" xr3:uid="{00000000-0010-0000-0000-000006000000}" name="Classification "/>
    <tableColumn id="7" xr3:uid="{00000000-0010-0000-0000-000007000000}" name="Date d'entrée au poste"/>
    <tableColumn id="8" xr3:uid="{00000000-0010-0000-0000-000008000000}" name="Rémunération Fixe"/>
    <tableColumn id="9" xr3:uid="{00000000-0010-0000-0000-000009000000}" name="Rémunération Variable"/>
    <tableColumn id="10" xr3:uid="{00000000-0010-0000-0000-00000A000000}" name="Primes brutes"/>
    <tableColumn id="11" xr3:uid="{00000000-0010-0000-0000-00000B000000}" name="Rémunération Brute"/>
    <tableColumn id="12" xr3:uid="{00000000-0010-0000-0000-00000C000000}" name="Indemnités Net"/>
    <tableColumn id="13" xr3:uid="{00000000-0010-0000-0000-00000D000000}" name="Participation / Intéressement"/>
    <tableColumn id="14" xr3:uid="{00000000-0010-0000-0000-00000E000000}" name="Charges Sociales "/>
    <tableColumn id="15" xr3:uid="{00000000-0010-0000-0000-00000F000000}" name="Experience"/>
    <tableColumn id="16" xr3:uid="{00000000-0010-0000-0000-000010000000}" name="Ancienneté &amp; Compétences"/>
    <tableColumn id="17" xr3:uid="{00000000-0010-0000-0000-000011000000}" name="Management"/>
    <tableColumn id="18" xr3:uid="{00000000-0010-0000-0000-000012000000}" name="Lieu de travail"/>
    <tableColumn id="19" xr3:uid="{00000000-0010-0000-0000-000013000000}" name="Salaire de référence"/>
    <tableColumn id="20" xr3:uid="{00000000-0010-0000-0000-000014000000}" name="Indice Expérience"/>
    <tableColumn id="21" xr3:uid="{00000000-0010-0000-0000-000015000000}" name="Bonus Ancienneté"/>
    <tableColumn id="22" xr3:uid="{00000000-0010-0000-0000-000016000000}" name="Bonus Management"/>
    <tableColumn id="23" xr3:uid="{00000000-0010-0000-0000-000017000000}" name="Indice Zone"/>
  </tableColumns>
  <tableStyleInfo name="Etablir la grille intern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4:E19">
  <tableColumns count="5">
    <tableColumn id="1" xr3:uid="{00000000-0010-0000-0100-000001000000}" name="Poste"/>
    <tableColumn id="2" xr3:uid="{00000000-0010-0000-0100-000002000000}" name="COUNTA de Nom"/>
    <tableColumn id="3" xr3:uid="{00000000-0010-0000-0100-000003000000}" name="MIN de Rémunération Brute"/>
    <tableColumn id="4" xr3:uid="{00000000-0010-0000-0100-000004000000}" name="MEDIAN de Rémunération Brute"/>
    <tableColumn id="5" xr3:uid="{00000000-0010-0000-0100-000005000000}" name="MAX de Rémunération Brute"/>
  </tableColumns>
  <tableStyleInfo name="Grille des salair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3:D36">
  <tableColumns count="4">
    <tableColumn id="1" xr3:uid="{00000000-0010-0000-0200-000001000000}" name="Secteur / Equipe "/>
    <tableColumn id="2" xr3:uid="{00000000-0010-0000-0200-000002000000}" name="MIN de Salaire de référence"/>
    <tableColumn id="3" xr3:uid="{00000000-0010-0000-0200-000003000000}" name="MEDIAN de Salaire de référence"/>
    <tableColumn id="4" xr3:uid="{00000000-0010-0000-0200-000004000000}" name="MAX de Salaire de référence"/>
  </tableColumns>
  <tableStyleInfo name="Grille des salaires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5:D30">
  <tableColumns count="4">
    <tableColumn id="1" xr3:uid="{00000000-0010-0000-0300-000001000000}" name="Poste"/>
    <tableColumn id="2" xr3:uid="{00000000-0010-0000-0300-000002000000}" name="MIN de Salaire de référence"/>
    <tableColumn id="3" xr3:uid="{00000000-0010-0000-0300-000003000000}" name="MEDIAN de Salaire de référence"/>
    <tableColumn id="4" xr3:uid="{00000000-0010-0000-0300-000004000000}" name="MAX de Salaire de référence"/>
  </tableColumns>
  <tableStyleInfo name="Grille des salaires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7:E10">
  <tableColumns count="5">
    <tableColumn id="1" xr3:uid="{00000000-0010-0000-0400-000001000000}" name="Secteur / Equipe "/>
    <tableColumn id="2" xr3:uid="{00000000-0010-0000-0400-000002000000}" name="COUNTA de Nom"/>
    <tableColumn id="3" xr3:uid="{00000000-0010-0000-0400-000003000000}" name="MIN de Rémunération Brute"/>
    <tableColumn id="4" xr3:uid="{00000000-0010-0000-0400-000004000000}" name="MEDIAN de Rémunération Brute"/>
    <tableColumn id="5" xr3:uid="{00000000-0010-0000-0400-000005000000}" name="MAX de Rémunération Brute"/>
  </tableColumns>
  <tableStyleInfo name="Grille des salaires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6:AD33" headerRowCount="0">
  <tableColumns count="30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</tableColumns>
  <tableStyleInfo name="Bench externe des salair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L44">
  <tableColumns count="12">
    <tableColumn id="1" xr3:uid="{00000000-0010-0000-0600-000001000000}" name="Nom"/>
    <tableColumn id="2" xr3:uid="{00000000-0010-0000-0600-000002000000}" name="Prénom"/>
    <tableColumn id="3" xr3:uid="{00000000-0010-0000-0600-000003000000}" name="Secteur"/>
    <tableColumn id="4" xr3:uid="{00000000-0010-0000-0600-000004000000}" name="Poste"/>
    <tableColumn id="5" xr3:uid="{00000000-0010-0000-0600-000005000000}" name="Rémunération Brute"/>
    <tableColumn id="6" xr3:uid="{00000000-0010-0000-0600-000006000000}" name="Moyenne Marché"/>
    <tableColumn id="7" xr3:uid="{00000000-0010-0000-0600-000007000000}" name="Min Secteur"/>
    <tableColumn id="8" xr3:uid="{00000000-0010-0000-0600-000008000000}" name="Salaire reference"/>
    <tableColumn id="9" xr3:uid="{00000000-0010-0000-0600-000009000000}" name="Min Ref Poste"/>
    <tableColumn id="10" xr3:uid="{00000000-0010-0000-0600-00000A000000}" name="Min Ref Secteur"/>
    <tableColumn id="11" xr3:uid="{00000000-0010-0000-0600-00000B000000}" name="Commentaire Marché"/>
    <tableColumn id="12" xr3:uid="{00000000-0010-0000-0600-00000C000000}" name="Commentaire sur le poste"/>
  </tableColumns>
  <tableStyleInfo name="Suivi de la grill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2:A23">
  <tableColumns count="1">
    <tableColumn id="1" xr3:uid="{00000000-0010-0000-0700-000001000000}" name="Ou le collaborateur sera situé ? "/>
  </tableColumns>
  <tableStyleInfo name="Calculateur interne de rémunéra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9:A20">
  <tableColumns count="1">
    <tableColumn id="1" xr3:uid="{00000000-0010-0000-0800-000001000000}" name="Ce poste contient un rôle de manager ? "/>
  </tableColumns>
  <tableStyleInfo name="Calculateur interne de rémunéra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3:A14">
  <tableColumns count="1">
    <tableColumn id="1" xr3:uid="{00000000-0010-0000-0900-000001000000}" name="Dans quel service ?"/>
  </tableColumns>
  <tableStyleInfo name="Calculateur interne de rémunéra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0:A11">
  <tableColumns count="1">
    <tableColumn id="1" xr3:uid="{00000000-0010-0000-0A00-000001000000}" name="Sur quel poste recrutez-vous ? "/>
  </tableColumns>
  <tableStyleInfo name="Calculateur interne de rémunéra-style 4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6:A17">
  <tableColumns count="1">
    <tableColumn id="1" xr3:uid="{00000000-0010-0000-0B00-000001000000}" name="Quel niveau d'expérience attendez-vous ? "/>
  </tableColumns>
  <tableStyleInfo name="Calculateur interne de rémunéra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laboiteaoutilsdesrh.fr/?p=16308" TargetMode="External"/><Relationship Id="rId1" Type="http://schemas.openxmlformats.org/officeDocument/2006/relationships/hyperlink" Target="https://laboiteaoutilsdesrh.fr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https://laboiteaoutilsdesrh.fr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laboiteaoutilsdesrh.fr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hyperlink" Target="https://laboiteaoutilsdesrh.fr/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hyperlink" Target="https://laboiteaoutilsdesrh.fr/" TargetMode="Externa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hyperlink" Target="https://laboiteaoutilsdesrh.fr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hyperlink" Target="https://laboiteaoutilsdesrh.fr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drawing" Target="../drawings/drawing8.xml"/><Relationship Id="rId1" Type="http://schemas.openxmlformats.org/officeDocument/2006/relationships/hyperlink" Target="https://laboiteaoutilsdesrh.fr/" TargetMode="Externa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96"/>
  <sheetViews>
    <sheetView showGridLines="0" tabSelected="1" workbookViewId="0"/>
  </sheetViews>
  <sheetFormatPr baseColWidth="10" defaultColWidth="12.6328125" defaultRowHeight="15.75" customHeight="1" x14ac:dyDescent="0.25"/>
  <cols>
    <col min="1" max="1" width="103.90625" customWidth="1"/>
  </cols>
  <sheetData>
    <row r="1" spans="1:1" ht="15.5" x14ac:dyDescent="0.35">
      <c r="A1" s="1"/>
    </row>
    <row r="2" spans="1:1" ht="15.5" x14ac:dyDescent="0.35">
      <c r="A2" s="1"/>
    </row>
    <row r="3" spans="1:1" ht="15.5" x14ac:dyDescent="0.35">
      <c r="A3" s="1"/>
    </row>
    <row r="4" spans="1:1" ht="15.5" x14ac:dyDescent="0.35">
      <c r="A4" s="1"/>
    </row>
    <row r="5" spans="1:1" ht="15.5" x14ac:dyDescent="0.35">
      <c r="A5" s="2" t="s">
        <v>0</v>
      </c>
    </row>
    <row r="6" spans="1:1" ht="15.5" x14ac:dyDescent="0.35">
      <c r="A6" s="1"/>
    </row>
    <row r="7" spans="1:1" ht="31.5" customHeight="1" x14ac:dyDescent="0.3">
      <c r="A7" s="3" t="s">
        <v>1</v>
      </c>
    </row>
    <row r="8" spans="1:1" ht="20.25" customHeight="1" x14ac:dyDescent="0.3">
      <c r="A8" s="4"/>
    </row>
    <row r="9" spans="1:1" ht="20.25" customHeight="1" x14ac:dyDescent="0.3">
      <c r="A9" s="5" t="s">
        <v>2</v>
      </c>
    </row>
    <row r="10" spans="1:1" ht="20.25" customHeight="1" x14ac:dyDescent="0.3">
      <c r="A10" s="4"/>
    </row>
    <row r="11" spans="1:1" ht="20.25" customHeight="1" x14ac:dyDescent="0.3">
      <c r="A11" s="6" t="s">
        <v>3</v>
      </c>
    </row>
    <row r="12" spans="1:1" ht="42" customHeight="1" x14ac:dyDescent="0.25">
      <c r="A12" s="7" t="s">
        <v>4</v>
      </c>
    </row>
    <row r="13" spans="1:1" ht="20.25" customHeight="1" x14ac:dyDescent="0.3">
      <c r="A13" s="4"/>
    </row>
    <row r="14" spans="1:1" ht="20.25" customHeight="1" x14ac:dyDescent="0.3">
      <c r="A14" s="6" t="s">
        <v>5</v>
      </c>
    </row>
    <row r="15" spans="1:1" ht="31.5" customHeight="1" x14ac:dyDescent="0.25">
      <c r="A15" s="7" t="s">
        <v>6</v>
      </c>
    </row>
    <row r="16" spans="1:1" ht="20.25" customHeight="1" x14ac:dyDescent="0.3">
      <c r="A16" s="4"/>
    </row>
    <row r="17" spans="1:1" ht="20.25" customHeight="1" x14ac:dyDescent="0.3">
      <c r="A17" s="6" t="s">
        <v>7</v>
      </c>
    </row>
    <row r="18" spans="1:1" ht="28.5" customHeight="1" x14ac:dyDescent="0.25">
      <c r="A18" s="8" t="s">
        <v>8</v>
      </c>
    </row>
    <row r="19" spans="1:1" ht="28.5" customHeight="1" x14ac:dyDescent="0.25">
      <c r="A19" s="8" t="s">
        <v>9</v>
      </c>
    </row>
    <row r="20" spans="1:1" ht="28.5" customHeight="1" x14ac:dyDescent="0.25">
      <c r="A20" s="8" t="s">
        <v>10</v>
      </c>
    </row>
    <row r="21" spans="1:1" ht="28.5" customHeight="1" x14ac:dyDescent="0.25">
      <c r="A21" s="8" t="s">
        <v>11</v>
      </c>
    </row>
    <row r="22" spans="1:1" ht="20.25" customHeight="1" x14ac:dyDescent="0.25">
      <c r="A22" s="9"/>
    </row>
    <row r="23" spans="1:1" ht="20.25" customHeight="1" x14ac:dyDescent="0.3">
      <c r="A23" s="5" t="s">
        <v>12</v>
      </c>
    </row>
    <row r="24" spans="1:1" ht="12.5" x14ac:dyDescent="0.25">
      <c r="A24" s="10"/>
    </row>
    <row r="25" spans="1:1" ht="12.5" x14ac:dyDescent="0.25">
      <c r="A25" s="10"/>
    </row>
    <row r="26" spans="1:1" ht="12.5" x14ac:dyDescent="0.25">
      <c r="A26" s="11" t="s">
        <v>13</v>
      </c>
    </row>
    <row r="27" spans="1:1" ht="12.5" x14ac:dyDescent="0.25">
      <c r="A27" s="9"/>
    </row>
    <row r="28" spans="1:1" ht="12.5" x14ac:dyDescent="0.25">
      <c r="A28" s="9"/>
    </row>
    <row r="29" spans="1:1" ht="12.5" x14ac:dyDescent="0.25">
      <c r="A29" s="9"/>
    </row>
    <row r="30" spans="1:1" ht="12.5" x14ac:dyDescent="0.25">
      <c r="A30" s="9"/>
    </row>
    <row r="31" spans="1:1" ht="12.5" x14ac:dyDescent="0.25">
      <c r="A31" s="9"/>
    </row>
    <row r="32" spans="1:1" ht="12.5" x14ac:dyDescent="0.25">
      <c r="A32" s="9"/>
    </row>
    <row r="33" spans="1:1" ht="12.5" x14ac:dyDescent="0.25">
      <c r="A33" s="9"/>
    </row>
    <row r="34" spans="1:1" ht="12.5" x14ac:dyDescent="0.25">
      <c r="A34" s="9"/>
    </row>
    <row r="35" spans="1:1" ht="12.5" x14ac:dyDescent="0.25">
      <c r="A35" s="9"/>
    </row>
    <row r="36" spans="1:1" ht="12.5" x14ac:dyDescent="0.25">
      <c r="A36" s="9"/>
    </row>
    <row r="37" spans="1:1" ht="12.5" x14ac:dyDescent="0.25">
      <c r="A37" s="9"/>
    </row>
    <row r="38" spans="1:1" ht="12.5" x14ac:dyDescent="0.25">
      <c r="A38" s="9"/>
    </row>
    <row r="39" spans="1:1" ht="12.5" x14ac:dyDescent="0.25">
      <c r="A39" s="9"/>
    </row>
    <row r="40" spans="1:1" ht="12.5" x14ac:dyDescent="0.25">
      <c r="A40" s="9"/>
    </row>
    <row r="41" spans="1:1" ht="12.5" x14ac:dyDescent="0.25">
      <c r="A41" s="9"/>
    </row>
    <row r="42" spans="1:1" ht="12.5" x14ac:dyDescent="0.25">
      <c r="A42" s="9"/>
    </row>
    <row r="43" spans="1:1" ht="12.5" x14ac:dyDescent="0.25">
      <c r="A43" s="9"/>
    </row>
    <row r="44" spans="1:1" ht="12.5" x14ac:dyDescent="0.25">
      <c r="A44" s="9"/>
    </row>
    <row r="45" spans="1:1" ht="12.5" x14ac:dyDescent="0.25">
      <c r="A45" s="9"/>
    </row>
    <row r="46" spans="1:1" ht="12.5" x14ac:dyDescent="0.25">
      <c r="A46" s="9"/>
    </row>
    <row r="47" spans="1:1" ht="12.5" x14ac:dyDescent="0.25">
      <c r="A47" s="9"/>
    </row>
    <row r="48" spans="1:1" ht="12.5" x14ac:dyDescent="0.25">
      <c r="A48" s="9"/>
    </row>
    <row r="49" spans="1:1" ht="12.5" x14ac:dyDescent="0.25">
      <c r="A49" s="9"/>
    </row>
    <row r="50" spans="1:1" ht="12.5" x14ac:dyDescent="0.25">
      <c r="A50" s="9"/>
    </row>
    <row r="51" spans="1:1" ht="12.5" x14ac:dyDescent="0.25">
      <c r="A51" s="9"/>
    </row>
    <row r="52" spans="1:1" ht="12.5" x14ac:dyDescent="0.25">
      <c r="A52" s="9"/>
    </row>
    <row r="53" spans="1:1" ht="12.5" x14ac:dyDescent="0.25">
      <c r="A53" s="9"/>
    </row>
    <row r="54" spans="1:1" ht="12.5" x14ac:dyDescent="0.25">
      <c r="A54" s="9"/>
    </row>
    <row r="55" spans="1:1" ht="12.5" x14ac:dyDescent="0.25">
      <c r="A55" s="9"/>
    </row>
    <row r="56" spans="1:1" ht="12.5" x14ac:dyDescent="0.25">
      <c r="A56" s="9"/>
    </row>
    <row r="57" spans="1:1" ht="12.5" x14ac:dyDescent="0.25">
      <c r="A57" s="9"/>
    </row>
    <row r="58" spans="1:1" ht="12.5" x14ac:dyDescent="0.25">
      <c r="A58" s="9"/>
    </row>
    <row r="59" spans="1:1" ht="12.5" x14ac:dyDescent="0.25">
      <c r="A59" s="9"/>
    </row>
    <row r="60" spans="1:1" ht="12.5" x14ac:dyDescent="0.25">
      <c r="A60" s="9"/>
    </row>
    <row r="61" spans="1:1" ht="12.5" x14ac:dyDescent="0.25">
      <c r="A61" s="9"/>
    </row>
    <row r="62" spans="1:1" ht="12.5" x14ac:dyDescent="0.25">
      <c r="A62" s="9"/>
    </row>
    <row r="63" spans="1:1" ht="12.5" x14ac:dyDescent="0.25">
      <c r="A63" s="9"/>
    </row>
    <row r="64" spans="1:1" ht="12.5" x14ac:dyDescent="0.25">
      <c r="A64" s="9"/>
    </row>
    <row r="65" spans="1:1" ht="12.5" x14ac:dyDescent="0.25">
      <c r="A65" s="9"/>
    </row>
    <row r="66" spans="1:1" ht="12.5" x14ac:dyDescent="0.25">
      <c r="A66" s="9"/>
    </row>
    <row r="67" spans="1:1" ht="12.5" x14ac:dyDescent="0.25">
      <c r="A67" s="9"/>
    </row>
    <row r="68" spans="1:1" ht="12.5" x14ac:dyDescent="0.25">
      <c r="A68" s="9"/>
    </row>
    <row r="69" spans="1:1" ht="12.5" x14ac:dyDescent="0.25">
      <c r="A69" s="9"/>
    </row>
    <row r="70" spans="1:1" ht="12.5" x14ac:dyDescent="0.25">
      <c r="A70" s="9"/>
    </row>
    <row r="71" spans="1:1" ht="12.5" x14ac:dyDescent="0.25">
      <c r="A71" s="9"/>
    </row>
    <row r="72" spans="1:1" ht="12.5" x14ac:dyDescent="0.25">
      <c r="A72" s="9"/>
    </row>
    <row r="73" spans="1:1" ht="12.5" x14ac:dyDescent="0.25">
      <c r="A73" s="9"/>
    </row>
    <row r="74" spans="1:1" ht="12.5" x14ac:dyDescent="0.25">
      <c r="A74" s="9"/>
    </row>
    <row r="75" spans="1:1" ht="12.5" x14ac:dyDescent="0.25">
      <c r="A75" s="9"/>
    </row>
    <row r="76" spans="1:1" ht="12.5" x14ac:dyDescent="0.25">
      <c r="A76" s="9"/>
    </row>
    <row r="77" spans="1:1" ht="12.5" x14ac:dyDescent="0.25">
      <c r="A77" s="9"/>
    </row>
    <row r="78" spans="1:1" ht="12.5" x14ac:dyDescent="0.25">
      <c r="A78" s="9"/>
    </row>
    <row r="79" spans="1:1" ht="12.5" x14ac:dyDescent="0.25">
      <c r="A79" s="9"/>
    </row>
    <row r="80" spans="1:1" ht="12.5" x14ac:dyDescent="0.25">
      <c r="A80" s="9"/>
    </row>
    <row r="81" spans="1:1" ht="12.5" x14ac:dyDescent="0.25">
      <c r="A81" s="9"/>
    </row>
    <row r="82" spans="1:1" ht="12.5" x14ac:dyDescent="0.25">
      <c r="A82" s="9"/>
    </row>
    <row r="83" spans="1:1" ht="12.5" x14ac:dyDescent="0.25">
      <c r="A83" s="9"/>
    </row>
    <row r="84" spans="1:1" ht="12.5" x14ac:dyDescent="0.25">
      <c r="A84" s="9"/>
    </row>
    <row r="85" spans="1:1" ht="12.5" x14ac:dyDescent="0.25">
      <c r="A85" s="9"/>
    </row>
    <row r="86" spans="1:1" ht="12.5" x14ac:dyDescent="0.25">
      <c r="A86" s="9"/>
    </row>
    <row r="87" spans="1:1" ht="12.5" x14ac:dyDescent="0.25">
      <c r="A87" s="9"/>
    </row>
    <row r="88" spans="1:1" ht="12.5" x14ac:dyDescent="0.25">
      <c r="A88" s="9"/>
    </row>
    <row r="89" spans="1:1" ht="12.5" x14ac:dyDescent="0.25">
      <c r="A89" s="9"/>
    </row>
    <row r="90" spans="1:1" ht="12.5" x14ac:dyDescent="0.25">
      <c r="A90" s="9"/>
    </row>
    <row r="91" spans="1:1" ht="12.5" x14ac:dyDescent="0.25">
      <c r="A91" s="9"/>
    </row>
    <row r="92" spans="1:1" ht="12.5" x14ac:dyDescent="0.25">
      <c r="A92" s="9"/>
    </row>
    <row r="93" spans="1:1" ht="12.5" x14ac:dyDescent="0.25">
      <c r="A93" s="9"/>
    </row>
    <row r="94" spans="1:1" ht="12.5" x14ac:dyDescent="0.25">
      <c r="A94" s="9"/>
    </row>
    <row r="95" spans="1:1" ht="12.5" x14ac:dyDescent="0.25">
      <c r="A95" s="9"/>
    </row>
    <row r="96" spans="1:1" ht="12.5" x14ac:dyDescent="0.25">
      <c r="A96" s="9"/>
    </row>
    <row r="97" spans="1:1" ht="12.5" x14ac:dyDescent="0.25">
      <c r="A97" s="9"/>
    </row>
    <row r="98" spans="1:1" ht="12.5" x14ac:dyDescent="0.25">
      <c r="A98" s="9"/>
    </row>
    <row r="99" spans="1:1" ht="12.5" x14ac:dyDescent="0.25">
      <c r="A99" s="9"/>
    </row>
    <row r="100" spans="1:1" ht="12.5" x14ac:dyDescent="0.25">
      <c r="A100" s="9"/>
    </row>
    <row r="101" spans="1:1" ht="12.5" x14ac:dyDescent="0.25">
      <c r="A101" s="9"/>
    </row>
    <row r="102" spans="1:1" ht="12.5" x14ac:dyDescent="0.25">
      <c r="A102" s="9"/>
    </row>
    <row r="103" spans="1:1" ht="12.5" x14ac:dyDescent="0.25">
      <c r="A103" s="9"/>
    </row>
    <row r="104" spans="1:1" ht="12.5" x14ac:dyDescent="0.25">
      <c r="A104" s="9"/>
    </row>
    <row r="105" spans="1:1" ht="12.5" x14ac:dyDescent="0.25">
      <c r="A105" s="9"/>
    </row>
    <row r="106" spans="1:1" ht="12.5" x14ac:dyDescent="0.25">
      <c r="A106" s="9"/>
    </row>
    <row r="107" spans="1:1" ht="12.5" x14ac:dyDescent="0.25">
      <c r="A107" s="9"/>
    </row>
    <row r="108" spans="1:1" ht="12.5" x14ac:dyDescent="0.25">
      <c r="A108" s="9"/>
    </row>
    <row r="109" spans="1:1" ht="12.5" x14ac:dyDescent="0.25">
      <c r="A109" s="9"/>
    </row>
    <row r="110" spans="1:1" ht="12.5" x14ac:dyDescent="0.25">
      <c r="A110" s="9"/>
    </row>
    <row r="111" spans="1:1" ht="12.5" x14ac:dyDescent="0.25">
      <c r="A111" s="9"/>
    </row>
    <row r="112" spans="1:1" ht="12.5" x14ac:dyDescent="0.25">
      <c r="A112" s="9"/>
    </row>
    <row r="113" spans="1:1" ht="12.5" x14ac:dyDescent="0.25">
      <c r="A113" s="9"/>
    </row>
    <row r="114" spans="1:1" ht="12.5" x14ac:dyDescent="0.25">
      <c r="A114" s="9"/>
    </row>
    <row r="115" spans="1:1" ht="12.5" x14ac:dyDescent="0.25">
      <c r="A115" s="9"/>
    </row>
    <row r="116" spans="1:1" ht="12.5" x14ac:dyDescent="0.25">
      <c r="A116" s="9"/>
    </row>
    <row r="117" spans="1:1" ht="12.5" x14ac:dyDescent="0.25">
      <c r="A117" s="9"/>
    </row>
    <row r="118" spans="1:1" ht="12.5" x14ac:dyDescent="0.25">
      <c r="A118" s="9"/>
    </row>
    <row r="119" spans="1:1" ht="12.5" x14ac:dyDescent="0.25">
      <c r="A119" s="9"/>
    </row>
    <row r="120" spans="1:1" ht="12.5" x14ac:dyDescent="0.25">
      <c r="A120" s="9"/>
    </row>
    <row r="121" spans="1:1" ht="12.5" x14ac:dyDescent="0.25">
      <c r="A121" s="9"/>
    </row>
    <row r="122" spans="1:1" ht="12.5" x14ac:dyDescent="0.25">
      <c r="A122" s="9"/>
    </row>
    <row r="123" spans="1:1" ht="12.5" x14ac:dyDescent="0.25">
      <c r="A123" s="9"/>
    </row>
    <row r="124" spans="1:1" ht="12.5" x14ac:dyDescent="0.25">
      <c r="A124" s="9"/>
    </row>
    <row r="125" spans="1:1" ht="12.5" x14ac:dyDescent="0.25">
      <c r="A125" s="9"/>
    </row>
    <row r="126" spans="1:1" ht="12.5" x14ac:dyDescent="0.25">
      <c r="A126" s="9"/>
    </row>
    <row r="127" spans="1:1" ht="12.5" x14ac:dyDescent="0.25">
      <c r="A127" s="9"/>
    </row>
    <row r="128" spans="1:1" ht="12.5" x14ac:dyDescent="0.25">
      <c r="A128" s="9"/>
    </row>
    <row r="129" spans="1:1" ht="12.5" x14ac:dyDescent="0.25">
      <c r="A129" s="9"/>
    </row>
    <row r="130" spans="1:1" ht="12.5" x14ac:dyDescent="0.25">
      <c r="A130" s="9"/>
    </row>
    <row r="131" spans="1:1" ht="12.5" x14ac:dyDescent="0.25">
      <c r="A131" s="9"/>
    </row>
    <row r="132" spans="1:1" ht="12.5" x14ac:dyDescent="0.25">
      <c r="A132" s="9"/>
    </row>
    <row r="133" spans="1:1" ht="12.5" x14ac:dyDescent="0.25">
      <c r="A133" s="9"/>
    </row>
    <row r="134" spans="1:1" ht="12.5" x14ac:dyDescent="0.25">
      <c r="A134" s="9"/>
    </row>
    <row r="135" spans="1:1" ht="12.5" x14ac:dyDescent="0.25">
      <c r="A135" s="9"/>
    </row>
    <row r="136" spans="1:1" ht="12.5" x14ac:dyDescent="0.25">
      <c r="A136" s="9"/>
    </row>
    <row r="137" spans="1:1" ht="12.5" x14ac:dyDescent="0.25">
      <c r="A137" s="9"/>
    </row>
    <row r="138" spans="1:1" ht="12.5" x14ac:dyDescent="0.25">
      <c r="A138" s="9"/>
    </row>
    <row r="139" spans="1:1" ht="12.5" x14ac:dyDescent="0.25">
      <c r="A139" s="9"/>
    </row>
    <row r="140" spans="1:1" ht="12.5" x14ac:dyDescent="0.25">
      <c r="A140" s="9"/>
    </row>
    <row r="141" spans="1:1" ht="12.5" x14ac:dyDescent="0.25">
      <c r="A141" s="9"/>
    </row>
    <row r="142" spans="1:1" ht="12.5" x14ac:dyDescent="0.25">
      <c r="A142" s="9"/>
    </row>
    <row r="143" spans="1:1" ht="12.5" x14ac:dyDescent="0.25">
      <c r="A143" s="9"/>
    </row>
    <row r="144" spans="1:1" ht="12.5" x14ac:dyDescent="0.25">
      <c r="A144" s="9"/>
    </row>
    <row r="145" spans="1:1" ht="12.5" x14ac:dyDescent="0.25">
      <c r="A145" s="9"/>
    </row>
    <row r="146" spans="1:1" ht="12.5" x14ac:dyDescent="0.25">
      <c r="A146" s="9"/>
    </row>
    <row r="147" spans="1:1" ht="12.5" x14ac:dyDescent="0.25">
      <c r="A147" s="9"/>
    </row>
    <row r="148" spans="1:1" ht="12.5" x14ac:dyDescent="0.25">
      <c r="A148" s="9"/>
    </row>
    <row r="149" spans="1:1" ht="12.5" x14ac:dyDescent="0.25">
      <c r="A149" s="9"/>
    </row>
    <row r="150" spans="1:1" ht="12.5" x14ac:dyDescent="0.25">
      <c r="A150" s="9"/>
    </row>
    <row r="151" spans="1:1" ht="12.5" x14ac:dyDescent="0.25">
      <c r="A151" s="9"/>
    </row>
    <row r="152" spans="1:1" ht="12.5" x14ac:dyDescent="0.25">
      <c r="A152" s="9"/>
    </row>
    <row r="153" spans="1:1" ht="12.5" x14ac:dyDescent="0.25">
      <c r="A153" s="9"/>
    </row>
    <row r="154" spans="1:1" ht="12.5" x14ac:dyDescent="0.25">
      <c r="A154" s="9"/>
    </row>
    <row r="155" spans="1:1" ht="12.5" x14ac:dyDescent="0.25">
      <c r="A155" s="9"/>
    </row>
    <row r="156" spans="1:1" ht="12.5" x14ac:dyDescent="0.25">
      <c r="A156" s="9"/>
    </row>
    <row r="157" spans="1:1" ht="12.5" x14ac:dyDescent="0.25">
      <c r="A157" s="9"/>
    </row>
    <row r="158" spans="1:1" ht="12.5" x14ac:dyDescent="0.25">
      <c r="A158" s="9"/>
    </row>
    <row r="159" spans="1:1" ht="12.5" x14ac:dyDescent="0.25">
      <c r="A159" s="9"/>
    </row>
    <row r="160" spans="1:1" ht="12.5" x14ac:dyDescent="0.25">
      <c r="A160" s="9"/>
    </row>
    <row r="161" spans="1:1" ht="12.5" x14ac:dyDescent="0.25">
      <c r="A161" s="9"/>
    </row>
    <row r="162" spans="1:1" ht="12.5" x14ac:dyDescent="0.25">
      <c r="A162" s="9"/>
    </row>
    <row r="163" spans="1:1" ht="12.5" x14ac:dyDescent="0.25">
      <c r="A163" s="9"/>
    </row>
    <row r="164" spans="1:1" ht="12.5" x14ac:dyDescent="0.25">
      <c r="A164" s="9"/>
    </row>
    <row r="165" spans="1:1" ht="12.5" x14ac:dyDescent="0.25">
      <c r="A165" s="9"/>
    </row>
    <row r="166" spans="1:1" ht="12.5" x14ac:dyDescent="0.25">
      <c r="A166" s="9"/>
    </row>
    <row r="167" spans="1:1" ht="12.5" x14ac:dyDescent="0.25">
      <c r="A167" s="9"/>
    </row>
    <row r="168" spans="1:1" ht="12.5" x14ac:dyDescent="0.25">
      <c r="A168" s="9"/>
    </row>
    <row r="169" spans="1:1" ht="12.5" x14ac:dyDescent="0.25">
      <c r="A169" s="9"/>
    </row>
    <row r="170" spans="1:1" ht="12.5" x14ac:dyDescent="0.25">
      <c r="A170" s="9"/>
    </row>
    <row r="171" spans="1:1" ht="12.5" x14ac:dyDescent="0.25">
      <c r="A171" s="9"/>
    </row>
    <row r="172" spans="1:1" ht="12.5" x14ac:dyDescent="0.25">
      <c r="A172" s="9"/>
    </row>
    <row r="173" spans="1:1" ht="12.5" x14ac:dyDescent="0.25">
      <c r="A173" s="9"/>
    </row>
    <row r="174" spans="1:1" ht="12.5" x14ac:dyDescent="0.25">
      <c r="A174" s="9"/>
    </row>
    <row r="175" spans="1:1" ht="12.5" x14ac:dyDescent="0.25">
      <c r="A175" s="9"/>
    </row>
    <row r="176" spans="1:1" ht="12.5" x14ac:dyDescent="0.25">
      <c r="A176" s="9"/>
    </row>
    <row r="177" spans="1:1" ht="12.5" x14ac:dyDescent="0.25">
      <c r="A177" s="9"/>
    </row>
    <row r="178" spans="1:1" ht="12.5" x14ac:dyDescent="0.25">
      <c r="A178" s="9"/>
    </row>
    <row r="179" spans="1:1" ht="12.5" x14ac:dyDescent="0.25">
      <c r="A179" s="9"/>
    </row>
    <row r="180" spans="1:1" ht="12.5" x14ac:dyDescent="0.25">
      <c r="A180" s="9"/>
    </row>
    <row r="181" spans="1:1" ht="12.5" x14ac:dyDescent="0.25">
      <c r="A181" s="9"/>
    </row>
    <row r="182" spans="1:1" ht="12.5" x14ac:dyDescent="0.25">
      <c r="A182" s="9"/>
    </row>
    <row r="183" spans="1:1" ht="12.5" x14ac:dyDescent="0.25">
      <c r="A183" s="9"/>
    </row>
    <row r="184" spans="1:1" ht="12.5" x14ac:dyDescent="0.25">
      <c r="A184" s="9"/>
    </row>
    <row r="185" spans="1:1" ht="12.5" x14ac:dyDescent="0.25">
      <c r="A185" s="9"/>
    </row>
    <row r="186" spans="1:1" ht="12.5" x14ac:dyDescent="0.25">
      <c r="A186" s="9"/>
    </row>
    <row r="187" spans="1:1" ht="12.5" x14ac:dyDescent="0.25">
      <c r="A187" s="9"/>
    </row>
    <row r="188" spans="1:1" ht="12.5" x14ac:dyDescent="0.25">
      <c r="A188" s="9"/>
    </row>
    <row r="189" spans="1:1" ht="12.5" x14ac:dyDescent="0.25">
      <c r="A189" s="9"/>
    </row>
    <row r="190" spans="1:1" ht="12.5" x14ac:dyDescent="0.25">
      <c r="A190" s="9"/>
    </row>
    <row r="191" spans="1:1" ht="12.5" x14ac:dyDescent="0.25">
      <c r="A191" s="9"/>
    </row>
    <row r="192" spans="1:1" ht="12.5" x14ac:dyDescent="0.25">
      <c r="A192" s="9"/>
    </row>
    <row r="193" spans="1:1" ht="12.5" x14ac:dyDescent="0.25">
      <c r="A193" s="9"/>
    </row>
    <row r="194" spans="1:1" ht="12.5" x14ac:dyDescent="0.25">
      <c r="A194" s="9"/>
    </row>
    <row r="195" spans="1:1" ht="12.5" x14ac:dyDescent="0.25">
      <c r="A195" s="9"/>
    </row>
    <row r="196" spans="1:1" ht="12.5" x14ac:dyDescent="0.25">
      <c r="A196" s="9"/>
    </row>
    <row r="197" spans="1:1" ht="12.5" x14ac:dyDescent="0.25">
      <c r="A197" s="9"/>
    </row>
    <row r="198" spans="1:1" ht="12.5" x14ac:dyDescent="0.25">
      <c r="A198" s="9"/>
    </row>
    <row r="199" spans="1:1" ht="12.5" x14ac:dyDescent="0.25">
      <c r="A199" s="9"/>
    </row>
    <row r="200" spans="1:1" ht="12.5" x14ac:dyDescent="0.25">
      <c r="A200" s="9"/>
    </row>
    <row r="201" spans="1:1" ht="12.5" x14ac:dyDescent="0.25">
      <c r="A201" s="9"/>
    </row>
    <row r="202" spans="1:1" ht="12.5" x14ac:dyDescent="0.25">
      <c r="A202" s="9"/>
    </row>
    <row r="203" spans="1:1" ht="12.5" x14ac:dyDescent="0.25">
      <c r="A203" s="9"/>
    </row>
    <row r="204" spans="1:1" ht="12.5" x14ac:dyDescent="0.25">
      <c r="A204" s="9"/>
    </row>
    <row r="205" spans="1:1" ht="12.5" x14ac:dyDescent="0.25">
      <c r="A205" s="9"/>
    </row>
    <row r="206" spans="1:1" ht="12.5" x14ac:dyDescent="0.25">
      <c r="A206" s="9"/>
    </row>
    <row r="207" spans="1:1" ht="12.5" x14ac:dyDescent="0.25">
      <c r="A207" s="9"/>
    </row>
    <row r="208" spans="1:1" ht="12.5" x14ac:dyDescent="0.25">
      <c r="A208" s="9"/>
    </row>
    <row r="209" spans="1:1" ht="12.5" x14ac:dyDescent="0.25">
      <c r="A209" s="9"/>
    </row>
    <row r="210" spans="1:1" ht="12.5" x14ac:dyDescent="0.25">
      <c r="A210" s="9"/>
    </row>
    <row r="211" spans="1:1" ht="12.5" x14ac:dyDescent="0.25">
      <c r="A211" s="9"/>
    </row>
    <row r="212" spans="1:1" ht="12.5" x14ac:dyDescent="0.25">
      <c r="A212" s="9"/>
    </row>
    <row r="213" spans="1:1" ht="12.5" x14ac:dyDescent="0.25">
      <c r="A213" s="9"/>
    </row>
    <row r="214" spans="1:1" ht="12.5" x14ac:dyDescent="0.25">
      <c r="A214" s="9"/>
    </row>
    <row r="215" spans="1:1" ht="12.5" x14ac:dyDescent="0.25">
      <c r="A215" s="9"/>
    </row>
    <row r="216" spans="1:1" ht="12.5" x14ac:dyDescent="0.25">
      <c r="A216" s="9"/>
    </row>
    <row r="217" spans="1:1" ht="12.5" x14ac:dyDescent="0.25">
      <c r="A217" s="9"/>
    </row>
    <row r="218" spans="1:1" ht="12.5" x14ac:dyDescent="0.25">
      <c r="A218" s="9"/>
    </row>
    <row r="219" spans="1:1" ht="12.5" x14ac:dyDescent="0.25">
      <c r="A219" s="9"/>
    </row>
    <row r="220" spans="1:1" ht="12.5" x14ac:dyDescent="0.25">
      <c r="A220" s="9"/>
    </row>
    <row r="221" spans="1:1" ht="12.5" x14ac:dyDescent="0.25">
      <c r="A221" s="9"/>
    </row>
    <row r="222" spans="1:1" ht="12.5" x14ac:dyDescent="0.25">
      <c r="A222" s="9"/>
    </row>
    <row r="223" spans="1:1" ht="12.5" x14ac:dyDescent="0.25">
      <c r="A223" s="9"/>
    </row>
    <row r="224" spans="1:1" ht="12.5" x14ac:dyDescent="0.25">
      <c r="A224" s="9"/>
    </row>
    <row r="225" spans="1:1" ht="12.5" x14ac:dyDescent="0.25">
      <c r="A225" s="9"/>
    </row>
    <row r="226" spans="1:1" ht="12.5" x14ac:dyDescent="0.25">
      <c r="A226" s="9"/>
    </row>
    <row r="227" spans="1:1" ht="12.5" x14ac:dyDescent="0.25">
      <c r="A227" s="9"/>
    </row>
    <row r="228" spans="1:1" ht="12.5" x14ac:dyDescent="0.25">
      <c r="A228" s="9"/>
    </row>
    <row r="229" spans="1:1" ht="12.5" x14ac:dyDescent="0.25">
      <c r="A229" s="9"/>
    </row>
    <row r="230" spans="1:1" ht="12.5" x14ac:dyDescent="0.25">
      <c r="A230" s="9"/>
    </row>
    <row r="231" spans="1:1" ht="12.5" x14ac:dyDescent="0.25">
      <c r="A231" s="9"/>
    </row>
    <row r="232" spans="1:1" ht="12.5" x14ac:dyDescent="0.25">
      <c r="A232" s="9"/>
    </row>
    <row r="233" spans="1:1" ht="12.5" x14ac:dyDescent="0.25">
      <c r="A233" s="9"/>
    </row>
    <row r="234" spans="1:1" ht="12.5" x14ac:dyDescent="0.25">
      <c r="A234" s="9"/>
    </row>
    <row r="235" spans="1:1" ht="12.5" x14ac:dyDescent="0.25">
      <c r="A235" s="9"/>
    </row>
    <row r="236" spans="1:1" ht="12.5" x14ac:dyDescent="0.25">
      <c r="A236" s="9"/>
    </row>
    <row r="237" spans="1:1" ht="12.5" x14ac:dyDescent="0.25">
      <c r="A237" s="9"/>
    </row>
    <row r="238" spans="1:1" ht="12.5" x14ac:dyDescent="0.25">
      <c r="A238" s="9"/>
    </row>
    <row r="239" spans="1:1" ht="12.5" x14ac:dyDescent="0.25">
      <c r="A239" s="9"/>
    </row>
    <row r="240" spans="1:1" ht="12.5" x14ac:dyDescent="0.25">
      <c r="A240" s="9"/>
    </row>
    <row r="241" spans="1:1" ht="12.5" x14ac:dyDescent="0.25">
      <c r="A241" s="9"/>
    </row>
    <row r="242" spans="1:1" ht="12.5" x14ac:dyDescent="0.25">
      <c r="A242" s="9"/>
    </row>
    <row r="243" spans="1:1" ht="12.5" x14ac:dyDescent="0.25">
      <c r="A243" s="9"/>
    </row>
    <row r="244" spans="1:1" ht="12.5" x14ac:dyDescent="0.25">
      <c r="A244" s="9"/>
    </row>
    <row r="245" spans="1:1" ht="12.5" x14ac:dyDescent="0.25">
      <c r="A245" s="9"/>
    </row>
    <row r="246" spans="1:1" ht="12.5" x14ac:dyDescent="0.25">
      <c r="A246" s="9"/>
    </row>
    <row r="247" spans="1:1" ht="12.5" x14ac:dyDescent="0.25">
      <c r="A247" s="9"/>
    </row>
    <row r="248" spans="1:1" ht="12.5" x14ac:dyDescent="0.25">
      <c r="A248" s="9"/>
    </row>
    <row r="249" spans="1:1" ht="12.5" x14ac:dyDescent="0.25">
      <c r="A249" s="9"/>
    </row>
    <row r="250" spans="1:1" ht="12.5" x14ac:dyDescent="0.25">
      <c r="A250" s="9"/>
    </row>
    <row r="251" spans="1:1" ht="12.5" x14ac:dyDescent="0.25">
      <c r="A251" s="9"/>
    </row>
    <row r="252" spans="1:1" ht="12.5" x14ac:dyDescent="0.25">
      <c r="A252" s="9"/>
    </row>
    <row r="253" spans="1:1" ht="12.5" x14ac:dyDescent="0.25">
      <c r="A253" s="9"/>
    </row>
    <row r="254" spans="1:1" ht="12.5" x14ac:dyDescent="0.25">
      <c r="A254" s="9"/>
    </row>
    <row r="255" spans="1:1" ht="12.5" x14ac:dyDescent="0.25">
      <c r="A255" s="9"/>
    </row>
    <row r="256" spans="1:1" ht="12.5" x14ac:dyDescent="0.25">
      <c r="A256" s="9"/>
    </row>
    <row r="257" spans="1:1" ht="12.5" x14ac:dyDescent="0.25">
      <c r="A257" s="9"/>
    </row>
    <row r="258" spans="1:1" ht="12.5" x14ac:dyDescent="0.25">
      <c r="A258" s="9"/>
    </row>
    <row r="259" spans="1:1" ht="12.5" x14ac:dyDescent="0.25">
      <c r="A259" s="9"/>
    </row>
    <row r="260" spans="1:1" ht="12.5" x14ac:dyDescent="0.25">
      <c r="A260" s="9"/>
    </row>
    <row r="261" spans="1:1" ht="12.5" x14ac:dyDescent="0.25">
      <c r="A261" s="9"/>
    </row>
    <row r="262" spans="1:1" ht="12.5" x14ac:dyDescent="0.25">
      <c r="A262" s="9"/>
    </row>
    <row r="263" spans="1:1" ht="12.5" x14ac:dyDescent="0.25">
      <c r="A263" s="9"/>
    </row>
    <row r="264" spans="1:1" ht="12.5" x14ac:dyDescent="0.25">
      <c r="A264" s="9"/>
    </row>
    <row r="265" spans="1:1" ht="12.5" x14ac:dyDescent="0.25">
      <c r="A265" s="9"/>
    </row>
    <row r="266" spans="1:1" ht="12.5" x14ac:dyDescent="0.25">
      <c r="A266" s="9"/>
    </row>
    <row r="267" spans="1:1" ht="12.5" x14ac:dyDescent="0.25">
      <c r="A267" s="9"/>
    </row>
    <row r="268" spans="1:1" ht="12.5" x14ac:dyDescent="0.25">
      <c r="A268" s="9"/>
    </row>
    <row r="269" spans="1:1" ht="12.5" x14ac:dyDescent="0.25">
      <c r="A269" s="9"/>
    </row>
    <row r="270" spans="1:1" ht="12.5" x14ac:dyDescent="0.25">
      <c r="A270" s="9"/>
    </row>
    <row r="271" spans="1:1" ht="12.5" x14ac:dyDescent="0.25">
      <c r="A271" s="9"/>
    </row>
    <row r="272" spans="1:1" ht="12.5" x14ac:dyDescent="0.25">
      <c r="A272" s="9"/>
    </row>
    <row r="273" spans="1:1" ht="12.5" x14ac:dyDescent="0.25">
      <c r="A273" s="9"/>
    </row>
    <row r="274" spans="1:1" ht="12.5" x14ac:dyDescent="0.25">
      <c r="A274" s="9"/>
    </row>
    <row r="275" spans="1:1" ht="12.5" x14ac:dyDescent="0.25">
      <c r="A275" s="9"/>
    </row>
    <row r="276" spans="1:1" ht="12.5" x14ac:dyDescent="0.25">
      <c r="A276" s="9"/>
    </row>
    <row r="277" spans="1:1" ht="12.5" x14ac:dyDescent="0.25">
      <c r="A277" s="9"/>
    </row>
    <row r="278" spans="1:1" ht="12.5" x14ac:dyDescent="0.25">
      <c r="A278" s="9"/>
    </row>
    <row r="279" spans="1:1" ht="12.5" x14ac:dyDescent="0.25">
      <c r="A279" s="9"/>
    </row>
    <row r="280" spans="1:1" ht="12.5" x14ac:dyDescent="0.25">
      <c r="A280" s="9"/>
    </row>
    <row r="281" spans="1:1" ht="12.5" x14ac:dyDescent="0.25">
      <c r="A281" s="9"/>
    </row>
    <row r="282" spans="1:1" ht="12.5" x14ac:dyDescent="0.25">
      <c r="A282" s="9"/>
    </row>
    <row r="283" spans="1:1" ht="12.5" x14ac:dyDescent="0.25">
      <c r="A283" s="9"/>
    </row>
    <row r="284" spans="1:1" ht="12.5" x14ac:dyDescent="0.25">
      <c r="A284" s="9"/>
    </row>
    <row r="285" spans="1:1" ht="12.5" x14ac:dyDescent="0.25">
      <c r="A285" s="9"/>
    </row>
    <row r="286" spans="1:1" ht="12.5" x14ac:dyDescent="0.25">
      <c r="A286" s="9"/>
    </row>
    <row r="287" spans="1:1" ht="12.5" x14ac:dyDescent="0.25">
      <c r="A287" s="9"/>
    </row>
    <row r="288" spans="1:1" ht="12.5" x14ac:dyDescent="0.25">
      <c r="A288" s="9"/>
    </row>
    <row r="289" spans="1:1" ht="12.5" x14ac:dyDescent="0.25">
      <c r="A289" s="9"/>
    </row>
    <row r="290" spans="1:1" ht="12.5" x14ac:dyDescent="0.25">
      <c r="A290" s="9"/>
    </row>
    <row r="291" spans="1:1" ht="12.5" x14ac:dyDescent="0.25">
      <c r="A291" s="9"/>
    </row>
    <row r="292" spans="1:1" ht="12.5" x14ac:dyDescent="0.25">
      <c r="A292" s="9"/>
    </row>
    <row r="293" spans="1:1" ht="12.5" x14ac:dyDescent="0.25">
      <c r="A293" s="9"/>
    </row>
    <row r="294" spans="1:1" ht="12.5" x14ac:dyDescent="0.25">
      <c r="A294" s="9"/>
    </row>
    <row r="295" spans="1:1" ht="12.5" x14ac:dyDescent="0.25">
      <c r="A295" s="9"/>
    </row>
    <row r="296" spans="1:1" ht="12.5" x14ac:dyDescent="0.25">
      <c r="A296" s="9"/>
    </row>
    <row r="297" spans="1:1" ht="12.5" x14ac:dyDescent="0.25">
      <c r="A297" s="9"/>
    </row>
    <row r="298" spans="1:1" ht="12.5" x14ac:dyDescent="0.25">
      <c r="A298" s="9"/>
    </row>
    <row r="299" spans="1:1" ht="12.5" x14ac:dyDescent="0.25">
      <c r="A299" s="9"/>
    </row>
    <row r="300" spans="1:1" ht="12.5" x14ac:dyDescent="0.25">
      <c r="A300" s="9"/>
    </row>
    <row r="301" spans="1:1" ht="12.5" x14ac:dyDescent="0.25">
      <c r="A301" s="9"/>
    </row>
    <row r="302" spans="1:1" ht="12.5" x14ac:dyDescent="0.25">
      <c r="A302" s="9"/>
    </row>
    <row r="303" spans="1:1" ht="12.5" x14ac:dyDescent="0.25">
      <c r="A303" s="9"/>
    </row>
    <row r="304" spans="1:1" ht="12.5" x14ac:dyDescent="0.25">
      <c r="A304" s="9"/>
    </row>
    <row r="305" spans="1:1" ht="12.5" x14ac:dyDescent="0.25">
      <c r="A305" s="9"/>
    </row>
    <row r="306" spans="1:1" ht="12.5" x14ac:dyDescent="0.25">
      <c r="A306" s="9"/>
    </row>
    <row r="307" spans="1:1" ht="12.5" x14ac:dyDescent="0.25">
      <c r="A307" s="9"/>
    </row>
    <row r="308" spans="1:1" ht="12.5" x14ac:dyDescent="0.25">
      <c r="A308" s="9"/>
    </row>
    <row r="309" spans="1:1" ht="12.5" x14ac:dyDescent="0.25">
      <c r="A309" s="9"/>
    </row>
    <row r="310" spans="1:1" ht="12.5" x14ac:dyDescent="0.25">
      <c r="A310" s="9"/>
    </row>
    <row r="311" spans="1:1" ht="12.5" x14ac:dyDescent="0.25">
      <c r="A311" s="9"/>
    </row>
    <row r="312" spans="1:1" ht="12.5" x14ac:dyDescent="0.25">
      <c r="A312" s="9"/>
    </row>
    <row r="313" spans="1:1" ht="12.5" x14ac:dyDescent="0.25">
      <c r="A313" s="9"/>
    </row>
    <row r="314" spans="1:1" ht="12.5" x14ac:dyDescent="0.25">
      <c r="A314" s="9"/>
    </row>
    <row r="315" spans="1:1" ht="12.5" x14ac:dyDescent="0.25">
      <c r="A315" s="9"/>
    </row>
    <row r="316" spans="1:1" ht="12.5" x14ac:dyDescent="0.25">
      <c r="A316" s="9"/>
    </row>
    <row r="317" spans="1:1" ht="12.5" x14ac:dyDescent="0.25">
      <c r="A317" s="9"/>
    </row>
    <row r="318" spans="1:1" ht="12.5" x14ac:dyDescent="0.25">
      <c r="A318" s="9"/>
    </row>
    <row r="319" spans="1:1" ht="12.5" x14ac:dyDescent="0.25">
      <c r="A319" s="9"/>
    </row>
    <row r="320" spans="1:1" ht="12.5" x14ac:dyDescent="0.25">
      <c r="A320" s="9"/>
    </row>
    <row r="321" spans="1:1" ht="12.5" x14ac:dyDescent="0.25">
      <c r="A321" s="9"/>
    </row>
    <row r="322" spans="1:1" ht="12.5" x14ac:dyDescent="0.25">
      <c r="A322" s="9"/>
    </row>
    <row r="323" spans="1:1" ht="12.5" x14ac:dyDescent="0.25">
      <c r="A323" s="9"/>
    </row>
    <row r="324" spans="1:1" ht="12.5" x14ac:dyDescent="0.25">
      <c r="A324" s="9"/>
    </row>
    <row r="325" spans="1:1" ht="12.5" x14ac:dyDescent="0.25">
      <c r="A325" s="9"/>
    </row>
    <row r="326" spans="1:1" ht="12.5" x14ac:dyDescent="0.25">
      <c r="A326" s="9"/>
    </row>
    <row r="327" spans="1:1" ht="12.5" x14ac:dyDescent="0.25">
      <c r="A327" s="9"/>
    </row>
    <row r="328" spans="1:1" ht="12.5" x14ac:dyDescent="0.25">
      <c r="A328" s="9"/>
    </row>
    <row r="329" spans="1:1" ht="12.5" x14ac:dyDescent="0.25">
      <c r="A329" s="9"/>
    </row>
    <row r="330" spans="1:1" ht="12.5" x14ac:dyDescent="0.25">
      <c r="A330" s="9"/>
    </row>
    <row r="331" spans="1:1" ht="12.5" x14ac:dyDescent="0.25">
      <c r="A331" s="9"/>
    </row>
    <row r="332" spans="1:1" ht="12.5" x14ac:dyDescent="0.25">
      <c r="A332" s="9"/>
    </row>
    <row r="333" spans="1:1" ht="12.5" x14ac:dyDescent="0.25">
      <c r="A333" s="9"/>
    </row>
    <row r="334" spans="1:1" ht="12.5" x14ac:dyDescent="0.25">
      <c r="A334" s="9"/>
    </row>
    <row r="335" spans="1:1" ht="12.5" x14ac:dyDescent="0.25">
      <c r="A335" s="9"/>
    </row>
    <row r="336" spans="1:1" ht="12.5" x14ac:dyDescent="0.25">
      <c r="A336" s="9"/>
    </row>
    <row r="337" spans="1:1" ht="12.5" x14ac:dyDescent="0.25">
      <c r="A337" s="9"/>
    </row>
    <row r="338" spans="1:1" ht="12.5" x14ac:dyDescent="0.25">
      <c r="A338" s="9"/>
    </row>
    <row r="339" spans="1:1" ht="12.5" x14ac:dyDescent="0.25">
      <c r="A339" s="9"/>
    </row>
    <row r="340" spans="1:1" ht="12.5" x14ac:dyDescent="0.25">
      <c r="A340" s="9"/>
    </row>
    <row r="341" spans="1:1" ht="12.5" x14ac:dyDescent="0.25">
      <c r="A341" s="9"/>
    </row>
    <row r="342" spans="1:1" ht="12.5" x14ac:dyDescent="0.25">
      <c r="A342" s="9"/>
    </row>
    <row r="343" spans="1:1" ht="12.5" x14ac:dyDescent="0.25">
      <c r="A343" s="9"/>
    </row>
    <row r="344" spans="1:1" ht="12.5" x14ac:dyDescent="0.25">
      <c r="A344" s="9"/>
    </row>
    <row r="345" spans="1:1" ht="12.5" x14ac:dyDescent="0.25">
      <c r="A345" s="9"/>
    </row>
    <row r="346" spans="1:1" ht="12.5" x14ac:dyDescent="0.25">
      <c r="A346" s="9"/>
    </row>
    <row r="347" spans="1:1" ht="12.5" x14ac:dyDescent="0.25">
      <c r="A347" s="9"/>
    </row>
    <row r="348" spans="1:1" ht="12.5" x14ac:dyDescent="0.25">
      <c r="A348" s="9"/>
    </row>
    <row r="349" spans="1:1" ht="12.5" x14ac:dyDescent="0.25">
      <c r="A349" s="9"/>
    </row>
    <row r="350" spans="1:1" ht="12.5" x14ac:dyDescent="0.25">
      <c r="A350" s="9"/>
    </row>
    <row r="351" spans="1:1" ht="12.5" x14ac:dyDescent="0.25">
      <c r="A351" s="9"/>
    </row>
    <row r="352" spans="1:1" ht="12.5" x14ac:dyDescent="0.25">
      <c r="A352" s="9"/>
    </row>
    <row r="353" spans="1:1" ht="12.5" x14ac:dyDescent="0.25">
      <c r="A353" s="9"/>
    </row>
    <row r="354" spans="1:1" ht="12.5" x14ac:dyDescent="0.25">
      <c r="A354" s="9"/>
    </row>
    <row r="355" spans="1:1" ht="12.5" x14ac:dyDescent="0.25">
      <c r="A355" s="9"/>
    </row>
    <row r="356" spans="1:1" ht="12.5" x14ac:dyDescent="0.25">
      <c r="A356" s="9"/>
    </row>
    <row r="357" spans="1:1" ht="12.5" x14ac:dyDescent="0.25">
      <c r="A357" s="9"/>
    </row>
    <row r="358" spans="1:1" ht="12.5" x14ac:dyDescent="0.25">
      <c r="A358" s="9"/>
    </row>
    <row r="359" spans="1:1" ht="12.5" x14ac:dyDescent="0.25">
      <c r="A359" s="9"/>
    </row>
    <row r="360" spans="1:1" ht="12.5" x14ac:dyDescent="0.25">
      <c r="A360" s="9"/>
    </row>
    <row r="361" spans="1:1" ht="12.5" x14ac:dyDescent="0.25">
      <c r="A361" s="9"/>
    </row>
    <row r="362" spans="1:1" ht="12.5" x14ac:dyDescent="0.25">
      <c r="A362" s="9"/>
    </row>
    <row r="363" spans="1:1" ht="12.5" x14ac:dyDescent="0.25">
      <c r="A363" s="9"/>
    </row>
    <row r="364" spans="1:1" ht="12.5" x14ac:dyDescent="0.25">
      <c r="A364" s="9"/>
    </row>
    <row r="365" spans="1:1" ht="12.5" x14ac:dyDescent="0.25">
      <c r="A365" s="9"/>
    </row>
    <row r="366" spans="1:1" ht="12.5" x14ac:dyDescent="0.25">
      <c r="A366" s="9"/>
    </row>
    <row r="367" spans="1:1" ht="12.5" x14ac:dyDescent="0.25">
      <c r="A367" s="9"/>
    </row>
    <row r="368" spans="1:1" ht="12.5" x14ac:dyDescent="0.25">
      <c r="A368" s="9"/>
    </row>
    <row r="369" spans="1:1" ht="12.5" x14ac:dyDescent="0.25">
      <c r="A369" s="9"/>
    </row>
    <row r="370" spans="1:1" ht="12.5" x14ac:dyDescent="0.25">
      <c r="A370" s="9"/>
    </row>
    <row r="371" spans="1:1" ht="12.5" x14ac:dyDescent="0.25">
      <c r="A371" s="9"/>
    </row>
    <row r="372" spans="1:1" ht="12.5" x14ac:dyDescent="0.25">
      <c r="A372" s="9"/>
    </row>
    <row r="373" spans="1:1" ht="12.5" x14ac:dyDescent="0.25">
      <c r="A373" s="9"/>
    </row>
    <row r="374" spans="1:1" ht="12.5" x14ac:dyDescent="0.25">
      <c r="A374" s="9"/>
    </row>
    <row r="375" spans="1:1" ht="12.5" x14ac:dyDescent="0.25">
      <c r="A375" s="9"/>
    </row>
    <row r="376" spans="1:1" ht="12.5" x14ac:dyDescent="0.25">
      <c r="A376" s="9"/>
    </row>
    <row r="377" spans="1:1" ht="12.5" x14ac:dyDescent="0.25">
      <c r="A377" s="9"/>
    </row>
    <row r="378" spans="1:1" ht="12.5" x14ac:dyDescent="0.25">
      <c r="A378" s="9"/>
    </row>
    <row r="379" spans="1:1" ht="12.5" x14ac:dyDescent="0.25">
      <c r="A379" s="9"/>
    </row>
    <row r="380" spans="1:1" ht="12.5" x14ac:dyDescent="0.25">
      <c r="A380" s="9"/>
    </row>
    <row r="381" spans="1:1" ht="12.5" x14ac:dyDescent="0.25">
      <c r="A381" s="9"/>
    </row>
    <row r="382" spans="1:1" ht="12.5" x14ac:dyDescent="0.25">
      <c r="A382" s="9"/>
    </row>
    <row r="383" spans="1:1" ht="12.5" x14ac:dyDescent="0.25">
      <c r="A383" s="9"/>
    </row>
    <row r="384" spans="1:1" ht="12.5" x14ac:dyDescent="0.25">
      <c r="A384" s="9"/>
    </row>
    <row r="385" spans="1:1" ht="12.5" x14ac:dyDescent="0.25">
      <c r="A385" s="9"/>
    </row>
    <row r="386" spans="1:1" ht="12.5" x14ac:dyDescent="0.25">
      <c r="A386" s="9"/>
    </row>
    <row r="387" spans="1:1" ht="12.5" x14ac:dyDescent="0.25">
      <c r="A387" s="9"/>
    </row>
    <row r="388" spans="1:1" ht="12.5" x14ac:dyDescent="0.25">
      <c r="A388" s="9"/>
    </row>
    <row r="389" spans="1:1" ht="12.5" x14ac:dyDescent="0.25">
      <c r="A389" s="9"/>
    </row>
    <row r="390" spans="1:1" ht="12.5" x14ac:dyDescent="0.25">
      <c r="A390" s="9"/>
    </row>
    <row r="391" spans="1:1" ht="12.5" x14ac:dyDescent="0.25">
      <c r="A391" s="9"/>
    </row>
    <row r="392" spans="1:1" ht="12.5" x14ac:dyDescent="0.25">
      <c r="A392" s="9"/>
    </row>
    <row r="393" spans="1:1" ht="12.5" x14ac:dyDescent="0.25">
      <c r="A393" s="9"/>
    </row>
    <row r="394" spans="1:1" ht="12.5" x14ac:dyDescent="0.25">
      <c r="A394" s="9"/>
    </row>
    <row r="395" spans="1:1" ht="12.5" x14ac:dyDescent="0.25">
      <c r="A395" s="9"/>
    </row>
    <row r="396" spans="1:1" ht="12.5" x14ac:dyDescent="0.25">
      <c r="A396" s="9"/>
    </row>
    <row r="397" spans="1:1" ht="12.5" x14ac:dyDescent="0.25">
      <c r="A397" s="9"/>
    </row>
    <row r="398" spans="1:1" ht="12.5" x14ac:dyDescent="0.25">
      <c r="A398" s="9"/>
    </row>
    <row r="399" spans="1:1" ht="12.5" x14ac:dyDescent="0.25">
      <c r="A399" s="9"/>
    </row>
    <row r="400" spans="1:1" ht="12.5" x14ac:dyDescent="0.25">
      <c r="A400" s="9"/>
    </row>
    <row r="401" spans="1:1" ht="12.5" x14ac:dyDescent="0.25">
      <c r="A401" s="9"/>
    </row>
    <row r="402" spans="1:1" ht="12.5" x14ac:dyDescent="0.25">
      <c r="A402" s="9"/>
    </row>
    <row r="403" spans="1:1" ht="12.5" x14ac:dyDescent="0.25">
      <c r="A403" s="9"/>
    </row>
    <row r="404" spans="1:1" ht="12.5" x14ac:dyDescent="0.25">
      <c r="A404" s="9"/>
    </row>
    <row r="405" spans="1:1" ht="12.5" x14ac:dyDescent="0.25">
      <c r="A405" s="9"/>
    </row>
    <row r="406" spans="1:1" ht="12.5" x14ac:dyDescent="0.25">
      <c r="A406" s="9"/>
    </row>
    <row r="407" spans="1:1" ht="12.5" x14ac:dyDescent="0.25">
      <c r="A407" s="9"/>
    </row>
    <row r="408" spans="1:1" ht="12.5" x14ac:dyDescent="0.25">
      <c r="A408" s="9"/>
    </row>
    <row r="409" spans="1:1" ht="12.5" x14ac:dyDescent="0.25">
      <c r="A409" s="9"/>
    </row>
    <row r="410" spans="1:1" ht="12.5" x14ac:dyDescent="0.25">
      <c r="A410" s="9"/>
    </row>
    <row r="411" spans="1:1" ht="12.5" x14ac:dyDescent="0.25">
      <c r="A411" s="9"/>
    </row>
    <row r="412" spans="1:1" ht="12.5" x14ac:dyDescent="0.25">
      <c r="A412" s="9"/>
    </row>
    <row r="413" spans="1:1" ht="12.5" x14ac:dyDescent="0.25">
      <c r="A413" s="9"/>
    </row>
    <row r="414" spans="1:1" ht="12.5" x14ac:dyDescent="0.25">
      <c r="A414" s="9"/>
    </row>
    <row r="415" spans="1:1" ht="12.5" x14ac:dyDescent="0.25">
      <c r="A415" s="9"/>
    </row>
    <row r="416" spans="1:1" ht="12.5" x14ac:dyDescent="0.25">
      <c r="A416" s="9"/>
    </row>
    <row r="417" spans="1:1" ht="12.5" x14ac:dyDescent="0.25">
      <c r="A417" s="9"/>
    </row>
    <row r="418" spans="1:1" ht="12.5" x14ac:dyDescent="0.25">
      <c r="A418" s="9"/>
    </row>
    <row r="419" spans="1:1" ht="12.5" x14ac:dyDescent="0.25">
      <c r="A419" s="9"/>
    </row>
    <row r="420" spans="1:1" ht="12.5" x14ac:dyDescent="0.25">
      <c r="A420" s="9"/>
    </row>
    <row r="421" spans="1:1" ht="12.5" x14ac:dyDescent="0.25">
      <c r="A421" s="9"/>
    </row>
    <row r="422" spans="1:1" ht="12.5" x14ac:dyDescent="0.25">
      <c r="A422" s="9"/>
    </row>
    <row r="423" spans="1:1" ht="12.5" x14ac:dyDescent="0.25">
      <c r="A423" s="9"/>
    </row>
    <row r="424" spans="1:1" ht="12.5" x14ac:dyDescent="0.25">
      <c r="A424" s="9"/>
    </row>
    <row r="425" spans="1:1" ht="12.5" x14ac:dyDescent="0.25">
      <c r="A425" s="9"/>
    </row>
    <row r="426" spans="1:1" ht="12.5" x14ac:dyDescent="0.25">
      <c r="A426" s="9"/>
    </row>
    <row r="427" spans="1:1" ht="12.5" x14ac:dyDescent="0.25">
      <c r="A427" s="9"/>
    </row>
    <row r="428" spans="1:1" ht="12.5" x14ac:dyDescent="0.25">
      <c r="A428" s="9"/>
    </row>
    <row r="429" spans="1:1" ht="12.5" x14ac:dyDescent="0.25">
      <c r="A429" s="9"/>
    </row>
    <row r="430" spans="1:1" ht="12.5" x14ac:dyDescent="0.25">
      <c r="A430" s="9"/>
    </row>
    <row r="431" spans="1:1" ht="12.5" x14ac:dyDescent="0.25">
      <c r="A431" s="9"/>
    </row>
    <row r="432" spans="1:1" ht="12.5" x14ac:dyDescent="0.25">
      <c r="A432" s="9"/>
    </row>
    <row r="433" spans="1:1" ht="12.5" x14ac:dyDescent="0.25">
      <c r="A433" s="9"/>
    </row>
    <row r="434" spans="1:1" ht="12.5" x14ac:dyDescent="0.25">
      <c r="A434" s="9"/>
    </row>
    <row r="435" spans="1:1" ht="12.5" x14ac:dyDescent="0.25">
      <c r="A435" s="9"/>
    </row>
    <row r="436" spans="1:1" ht="12.5" x14ac:dyDescent="0.25">
      <c r="A436" s="9"/>
    </row>
    <row r="437" spans="1:1" ht="12.5" x14ac:dyDescent="0.25">
      <c r="A437" s="9"/>
    </row>
    <row r="438" spans="1:1" ht="12.5" x14ac:dyDescent="0.25">
      <c r="A438" s="9"/>
    </row>
    <row r="439" spans="1:1" ht="12.5" x14ac:dyDescent="0.25">
      <c r="A439" s="9"/>
    </row>
    <row r="440" spans="1:1" ht="12.5" x14ac:dyDescent="0.25">
      <c r="A440" s="9"/>
    </row>
    <row r="441" spans="1:1" ht="12.5" x14ac:dyDescent="0.25">
      <c r="A441" s="9"/>
    </row>
    <row r="442" spans="1:1" ht="12.5" x14ac:dyDescent="0.25">
      <c r="A442" s="9"/>
    </row>
    <row r="443" spans="1:1" ht="12.5" x14ac:dyDescent="0.25">
      <c r="A443" s="9"/>
    </row>
    <row r="444" spans="1:1" ht="12.5" x14ac:dyDescent="0.25">
      <c r="A444" s="9"/>
    </row>
    <row r="445" spans="1:1" ht="12.5" x14ac:dyDescent="0.25">
      <c r="A445" s="9"/>
    </row>
    <row r="446" spans="1:1" ht="12.5" x14ac:dyDescent="0.25">
      <c r="A446" s="9"/>
    </row>
    <row r="447" spans="1:1" ht="12.5" x14ac:dyDescent="0.25">
      <c r="A447" s="9"/>
    </row>
    <row r="448" spans="1:1" ht="12.5" x14ac:dyDescent="0.25">
      <c r="A448" s="9"/>
    </row>
    <row r="449" spans="1:1" ht="12.5" x14ac:dyDescent="0.25">
      <c r="A449" s="9"/>
    </row>
    <row r="450" spans="1:1" ht="12.5" x14ac:dyDescent="0.25">
      <c r="A450" s="9"/>
    </row>
    <row r="451" spans="1:1" ht="12.5" x14ac:dyDescent="0.25">
      <c r="A451" s="9"/>
    </row>
    <row r="452" spans="1:1" ht="12.5" x14ac:dyDescent="0.25">
      <c r="A452" s="9"/>
    </row>
    <row r="453" spans="1:1" ht="12.5" x14ac:dyDescent="0.25">
      <c r="A453" s="9"/>
    </row>
    <row r="454" spans="1:1" ht="12.5" x14ac:dyDescent="0.25">
      <c r="A454" s="9"/>
    </row>
    <row r="455" spans="1:1" ht="12.5" x14ac:dyDescent="0.25">
      <c r="A455" s="9"/>
    </row>
    <row r="456" spans="1:1" ht="12.5" x14ac:dyDescent="0.25">
      <c r="A456" s="9"/>
    </row>
    <row r="457" spans="1:1" ht="12.5" x14ac:dyDescent="0.25">
      <c r="A457" s="9"/>
    </row>
    <row r="458" spans="1:1" ht="12.5" x14ac:dyDescent="0.25">
      <c r="A458" s="9"/>
    </row>
    <row r="459" spans="1:1" ht="12.5" x14ac:dyDescent="0.25">
      <c r="A459" s="9"/>
    </row>
    <row r="460" spans="1:1" ht="12.5" x14ac:dyDescent="0.25">
      <c r="A460" s="9"/>
    </row>
    <row r="461" spans="1:1" ht="12.5" x14ac:dyDescent="0.25">
      <c r="A461" s="9"/>
    </row>
    <row r="462" spans="1:1" ht="12.5" x14ac:dyDescent="0.25">
      <c r="A462" s="9"/>
    </row>
    <row r="463" spans="1:1" ht="12.5" x14ac:dyDescent="0.25">
      <c r="A463" s="9"/>
    </row>
    <row r="464" spans="1:1" ht="12.5" x14ac:dyDescent="0.25">
      <c r="A464" s="9"/>
    </row>
    <row r="465" spans="1:1" ht="12.5" x14ac:dyDescent="0.25">
      <c r="A465" s="9"/>
    </row>
    <row r="466" spans="1:1" ht="12.5" x14ac:dyDescent="0.25">
      <c r="A466" s="9"/>
    </row>
    <row r="467" spans="1:1" ht="12.5" x14ac:dyDescent="0.25">
      <c r="A467" s="9"/>
    </row>
    <row r="468" spans="1:1" ht="12.5" x14ac:dyDescent="0.25">
      <c r="A468" s="9"/>
    </row>
    <row r="469" spans="1:1" ht="12.5" x14ac:dyDescent="0.25">
      <c r="A469" s="9"/>
    </row>
    <row r="470" spans="1:1" ht="12.5" x14ac:dyDescent="0.25">
      <c r="A470" s="9"/>
    </row>
    <row r="471" spans="1:1" ht="12.5" x14ac:dyDescent="0.25">
      <c r="A471" s="9"/>
    </row>
    <row r="472" spans="1:1" ht="12.5" x14ac:dyDescent="0.25">
      <c r="A472" s="9"/>
    </row>
    <row r="473" spans="1:1" ht="12.5" x14ac:dyDescent="0.25">
      <c r="A473" s="9"/>
    </row>
    <row r="474" spans="1:1" ht="12.5" x14ac:dyDescent="0.25">
      <c r="A474" s="9"/>
    </row>
    <row r="475" spans="1:1" ht="12.5" x14ac:dyDescent="0.25">
      <c r="A475" s="9"/>
    </row>
    <row r="476" spans="1:1" ht="12.5" x14ac:dyDescent="0.25">
      <c r="A476" s="9"/>
    </row>
    <row r="477" spans="1:1" ht="12.5" x14ac:dyDescent="0.25">
      <c r="A477" s="9"/>
    </row>
    <row r="478" spans="1:1" ht="12.5" x14ac:dyDescent="0.25">
      <c r="A478" s="9"/>
    </row>
    <row r="479" spans="1:1" ht="12.5" x14ac:dyDescent="0.25">
      <c r="A479" s="9"/>
    </row>
    <row r="480" spans="1:1" ht="12.5" x14ac:dyDescent="0.25">
      <c r="A480" s="9"/>
    </row>
    <row r="481" spans="1:1" ht="12.5" x14ac:dyDescent="0.25">
      <c r="A481" s="9"/>
    </row>
    <row r="482" spans="1:1" ht="12.5" x14ac:dyDescent="0.25">
      <c r="A482" s="9"/>
    </row>
    <row r="483" spans="1:1" ht="12.5" x14ac:dyDescent="0.25">
      <c r="A483" s="9"/>
    </row>
    <row r="484" spans="1:1" ht="12.5" x14ac:dyDescent="0.25">
      <c r="A484" s="9"/>
    </row>
    <row r="485" spans="1:1" ht="12.5" x14ac:dyDescent="0.25">
      <c r="A485" s="9"/>
    </row>
    <row r="486" spans="1:1" ht="12.5" x14ac:dyDescent="0.25">
      <c r="A486" s="9"/>
    </row>
    <row r="487" spans="1:1" ht="12.5" x14ac:dyDescent="0.25">
      <c r="A487" s="9"/>
    </row>
    <row r="488" spans="1:1" ht="12.5" x14ac:dyDescent="0.25">
      <c r="A488" s="9"/>
    </row>
    <row r="489" spans="1:1" ht="12.5" x14ac:dyDescent="0.25">
      <c r="A489" s="9"/>
    </row>
    <row r="490" spans="1:1" ht="12.5" x14ac:dyDescent="0.25">
      <c r="A490" s="9"/>
    </row>
    <row r="491" spans="1:1" ht="12.5" x14ac:dyDescent="0.25">
      <c r="A491" s="9"/>
    </row>
    <row r="492" spans="1:1" ht="12.5" x14ac:dyDescent="0.25">
      <c r="A492" s="9"/>
    </row>
    <row r="493" spans="1:1" ht="12.5" x14ac:dyDescent="0.25">
      <c r="A493" s="9"/>
    </row>
    <row r="494" spans="1:1" ht="12.5" x14ac:dyDescent="0.25">
      <c r="A494" s="9"/>
    </row>
    <row r="495" spans="1:1" ht="12.5" x14ac:dyDescent="0.25">
      <c r="A495" s="9"/>
    </row>
    <row r="496" spans="1:1" ht="12.5" x14ac:dyDescent="0.25">
      <c r="A496" s="9"/>
    </row>
    <row r="497" spans="1:1" ht="12.5" x14ac:dyDescent="0.25">
      <c r="A497" s="9"/>
    </row>
    <row r="498" spans="1:1" ht="12.5" x14ac:dyDescent="0.25">
      <c r="A498" s="9"/>
    </row>
    <row r="499" spans="1:1" ht="12.5" x14ac:dyDescent="0.25">
      <c r="A499" s="9"/>
    </row>
    <row r="500" spans="1:1" ht="12.5" x14ac:dyDescent="0.25">
      <c r="A500" s="9"/>
    </row>
    <row r="501" spans="1:1" ht="12.5" x14ac:dyDescent="0.25">
      <c r="A501" s="9"/>
    </row>
    <row r="502" spans="1:1" ht="12.5" x14ac:dyDescent="0.25">
      <c r="A502" s="9"/>
    </row>
    <row r="503" spans="1:1" ht="12.5" x14ac:dyDescent="0.25">
      <c r="A503" s="9"/>
    </row>
    <row r="504" spans="1:1" ht="12.5" x14ac:dyDescent="0.25">
      <c r="A504" s="9"/>
    </row>
    <row r="505" spans="1:1" ht="12.5" x14ac:dyDescent="0.25">
      <c r="A505" s="9"/>
    </row>
    <row r="506" spans="1:1" ht="12.5" x14ac:dyDescent="0.25">
      <c r="A506" s="9"/>
    </row>
    <row r="507" spans="1:1" ht="12.5" x14ac:dyDescent="0.25">
      <c r="A507" s="9"/>
    </row>
    <row r="508" spans="1:1" ht="12.5" x14ac:dyDescent="0.25">
      <c r="A508" s="9"/>
    </row>
    <row r="509" spans="1:1" ht="12.5" x14ac:dyDescent="0.25">
      <c r="A509" s="9"/>
    </row>
    <row r="510" spans="1:1" ht="12.5" x14ac:dyDescent="0.25">
      <c r="A510" s="9"/>
    </row>
    <row r="511" spans="1:1" ht="12.5" x14ac:dyDescent="0.25">
      <c r="A511" s="9"/>
    </row>
    <row r="512" spans="1:1" ht="12.5" x14ac:dyDescent="0.25">
      <c r="A512" s="9"/>
    </row>
    <row r="513" spans="1:1" ht="12.5" x14ac:dyDescent="0.25">
      <c r="A513" s="9"/>
    </row>
    <row r="514" spans="1:1" ht="12.5" x14ac:dyDescent="0.25">
      <c r="A514" s="9"/>
    </row>
    <row r="515" spans="1:1" ht="12.5" x14ac:dyDescent="0.25">
      <c r="A515" s="9"/>
    </row>
    <row r="516" spans="1:1" ht="12.5" x14ac:dyDescent="0.25">
      <c r="A516" s="9"/>
    </row>
    <row r="517" spans="1:1" ht="12.5" x14ac:dyDescent="0.25">
      <c r="A517" s="9"/>
    </row>
    <row r="518" spans="1:1" ht="12.5" x14ac:dyDescent="0.25">
      <c r="A518" s="9"/>
    </row>
    <row r="519" spans="1:1" ht="12.5" x14ac:dyDescent="0.25">
      <c r="A519" s="9"/>
    </row>
    <row r="520" spans="1:1" ht="12.5" x14ac:dyDescent="0.25">
      <c r="A520" s="9"/>
    </row>
    <row r="521" spans="1:1" ht="12.5" x14ac:dyDescent="0.25">
      <c r="A521" s="9"/>
    </row>
    <row r="522" spans="1:1" ht="12.5" x14ac:dyDescent="0.25">
      <c r="A522" s="9"/>
    </row>
    <row r="523" spans="1:1" ht="12.5" x14ac:dyDescent="0.25">
      <c r="A523" s="9"/>
    </row>
    <row r="524" spans="1:1" ht="12.5" x14ac:dyDescent="0.25">
      <c r="A524" s="9"/>
    </row>
    <row r="525" spans="1:1" ht="12.5" x14ac:dyDescent="0.25">
      <c r="A525" s="9"/>
    </row>
    <row r="526" spans="1:1" ht="12.5" x14ac:dyDescent="0.25">
      <c r="A526" s="9"/>
    </row>
    <row r="527" spans="1:1" ht="12.5" x14ac:dyDescent="0.25">
      <c r="A527" s="9"/>
    </row>
    <row r="528" spans="1:1" ht="12.5" x14ac:dyDescent="0.25">
      <c r="A528" s="9"/>
    </row>
    <row r="529" spans="1:1" ht="12.5" x14ac:dyDescent="0.25">
      <c r="A529" s="9"/>
    </row>
    <row r="530" spans="1:1" ht="12.5" x14ac:dyDescent="0.25">
      <c r="A530" s="9"/>
    </row>
    <row r="531" spans="1:1" ht="12.5" x14ac:dyDescent="0.25">
      <c r="A531" s="9"/>
    </row>
    <row r="532" spans="1:1" ht="12.5" x14ac:dyDescent="0.25">
      <c r="A532" s="9"/>
    </row>
    <row r="533" spans="1:1" ht="12.5" x14ac:dyDescent="0.25">
      <c r="A533" s="9"/>
    </row>
    <row r="534" spans="1:1" ht="12.5" x14ac:dyDescent="0.25">
      <c r="A534" s="9"/>
    </row>
    <row r="535" spans="1:1" ht="12.5" x14ac:dyDescent="0.25">
      <c r="A535" s="9"/>
    </row>
    <row r="536" spans="1:1" ht="12.5" x14ac:dyDescent="0.25">
      <c r="A536" s="9"/>
    </row>
    <row r="537" spans="1:1" ht="12.5" x14ac:dyDescent="0.25">
      <c r="A537" s="9"/>
    </row>
    <row r="538" spans="1:1" ht="12.5" x14ac:dyDescent="0.25">
      <c r="A538" s="9"/>
    </row>
    <row r="539" spans="1:1" ht="12.5" x14ac:dyDescent="0.25">
      <c r="A539" s="9"/>
    </row>
    <row r="540" spans="1:1" ht="12.5" x14ac:dyDescent="0.25">
      <c r="A540" s="9"/>
    </row>
    <row r="541" spans="1:1" ht="12.5" x14ac:dyDescent="0.25">
      <c r="A541" s="9"/>
    </row>
    <row r="542" spans="1:1" ht="12.5" x14ac:dyDescent="0.25">
      <c r="A542" s="9"/>
    </row>
    <row r="543" spans="1:1" ht="12.5" x14ac:dyDescent="0.25">
      <c r="A543" s="9"/>
    </row>
    <row r="544" spans="1:1" ht="12.5" x14ac:dyDescent="0.25">
      <c r="A544" s="9"/>
    </row>
    <row r="545" spans="1:1" ht="12.5" x14ac:dyDescent="0.25">
      <c r="A545" s="9"/>
    </row>
    <row r="546" spans="1:1" ht="12.5" x14ac:dyDescent="0.25">
      <c r="A546" s="9"/>
    </row>
    <row r="547" spans="1:1" ht="12.5" x14ac:dyDescent="0.25">
      <c r="A547" s="9"/>
    </row>
    <row r="548" spans="1:1" ht="12.5" x14ac:dyDescent="0.25">
      <c r="A548" s="9"/>
    </row>
    <row r="549" spans="1:1" ht="12.5" x14ac:dyDescent="0.25">
      <c r="A549" s="9"/>
    </row>
    <row r="550" spans="1:1" ht="12.5" x14ac:dyDescent="0.25">
      <c r="A550" s="9"/>
    </row>
    <row r="551" spans="1:1" ht="12.5" x14ac:dyDescent="0.25">
      <c r="A551" s="9"/>
    </row>
    <row r="552" spans="1:1" ht="12.5" x14ac:dyDescent="0.25">
      <c r="A552" s="9"/>
    </row>
    <row r="553" spans="1:1" ht="12.5" x14ac:dyDescent="0.25">
      <c r="A553" s="9"/>
    </row>
    <row r="554" spans="1:1" ht="12.5" x14ac:dyDescent="0.25">
      <c r="A554" s="9"/>
    </row>
    <row r="555" spans="1:1" ht="12.5" x14ac:dyDescent="0.25">
      <c r="A555" s="9"/>
    </row>
    <row r="556" spans="1:1" ht="12.5" x14ac:dyDescent="0.25">
      <c r="A556" s="9"/>
    </row>
    <row r="557" spans="1:1" ht="12.5" x14ac:dyDescent="0.25">
      <c r="A557" s="9"/>
    </row>
    <row r="558" spans="1:1" ht="12.5" x14ac:dyDescent="0.25">
      <c r="A558" s="9"/>
    </row>
    <row r="559" spans="1:1" ht="12.5" x14ac:dyDescent="0.25">
      <c r="A559" s="9"/>
    </row>
    <row r="560" spans="1:1" ht="12.5" x14ac:dyDescent="0.25">
      <c r="A560" s="9"/>
    </row>
    <row r="561" spans="1:1" ht="12.5" x14ac:dyDescent="0.25">
      <c r="A561" s="9"/>
    </row>
    <row r="562" spans="1:1" ht="12.5" x14ac:dyDescent="0.25">
      <c r="A562" s="9"/>
    </row>
    <row r="563" spans="1:1" ht="12.5" x14ac:dyDescent="0.25">
      <c r="A563" s="9"/>
    </row>
    <row r="564" spans="1:1" ht="12.5" x14ac:dyDescent="0.25">
      <c r="A564" s="9"/>
    </row>
    <row r="565" spans="1:1" ht="12.5" x14ac:dyDescent="0.25">
      <c r="A565" s="9"/>
    </row>
    <row r="566" spans="1:1" ht="12.5" x14ac:dyDescent="0.25">
      <c r="A566" s="9"/>
    </row>
    <row r="567" spans="1:1" ht="12.5" x14ac:dyDescent="0.25">
      <c r="A567" s="9"/>
    </row>
    <row r="568" spans="1:1" ht="12.5" x14ac:dyDescent="0.25">
      <c r="A568" s="9"/>
    </row>
    <row r="569" spans="1:1" ht="12.5" x14ac:dyDescent="0.25">
      <c r="A569" s="9"/>
    </row>
    <row r="570" spans="1:1" ht="12.5" x14ac:dyDescent="0.25">
      <c r="A570" s="9"/>
    </row>
    <row r="571" spans="1:1" ht="12.5" x14ac:dyDescent="0.25">
      <c r="A571" s="9"/>
    </row>
    <row r="572" spans="1:1" ht="12.5" x14ac:dyDescent="0.25">
      <c r="A572" s="9"/>
    </row>
    <row r="573" spans="1:1" ht="12.5" x14ac:dyDescent="0.25">
      <c r="A573" s="9"/>
    </row>
    <row r="574" spans="1:1" ht="12.5" x14ac:dyDescent="0.25">
      <c r="A574" s="9"/>
    </row>
    <row r="575" spans="1:1" ht="12.5" x14ac:dyDescent="0.25">
      <c r="A575" s="9"/>
    </row>
    <row r="576" spans="1:1" ht="12.5" x14ac:dyDescent="0.25">
      <c r="A576" s="9"/>
    </row>
    <row r="577" spans="1:1" ht="12.5" x14ac:dyDescent="0.25">
      <c r="A577" s="9"/>
    </row>
    <row r="578" spans="1:1" ht="12.5" x14ac:dyDescent="0.25">
      <c r="A578" s="9"/>
    </row>
    <row r="579" spans="1:1" ht="12.5" x14ac:dyDescent="0.25">
      <c r="A579" s="9"/>
    </row>
    <row r="580" spans="1:1" ht="12.5" x14ac:dyDescent="0.25">
      <c r="A580" s="9"/>
    </row>
    <row r="581" spans="1:1" ht="12.5" x14ac:dyDescent="0.25">
      <c r="A581" s="9"/>
    </row>
    <row r="582" spans="1:1" ht="12.5" x14ac:dyDescent="0.25">
      <c r="A582" s="9"/>
    </row>
    <row r="583" spans="1:1" ht="12.5" x14ac:dyDescent="0.25">
      <c r="A583" s="9"/>
    </row>
    <row r="584" spans="1:1" ht="12.5" x14ac:dyDescent="0.25">
      <c r="A584" s="9"/>
    </row>
    <row r="585" spans="1:1" ht="12.5" x14ac:dyDescent="0.25">
      <c r="A585" s="9"/>
    </row>
    <row r="586" spans="1:1" ht="12.5" x14ac:dyDescent="0.25">
      <c r="A586" s="9"/>
    </row>
    <row r="587" spans="1:1" ht="12.5" x14ac:dyDescent="0.25">
      <c r="A587" s="9"/>
    </row>
    <row r="588" spans="1:1" ht="12.5" x14ac:dyDescent="0.25">
      <c r="A588" s="9"/>
    </row>
    <row r="589" spans="1:1" ht="12.5" x14ac:dyDescent="0.25">
      <c r="A589" s="9"/>
    </row>
    <row r="590" spans="1:1" ht="12.5" x14ac:dyDescent="0.25">
      <c r="A590" s="9"/>
    </row>
    <row r="591" spans="1:1" ht="12.5" x14ac:dyDescent="0.25">
      <c r="A591" s="9"/>
    </row>
    <row r="592" spans="1:1" ht="12.5" x14ac:dyDescent="0.25">
      <c r="A592" s="9"/>
    </row>
    <row r="593" spans="1:1" ht="12.5" x14ac:dyDescent="0.25">
      <c r="A593" s="9"/>
    </row>
    <row r="594" spans="1:1" ht="12.5" x14ac:dyDescent="0.25">
      <c r="A594" s="9"/>
    </row>
    <row r="595" spans="1:1" ht="12.5" x14ac:dyDescent="0.25">
      <c r="A595" s="9"/>
    </row>
    <row r="596" spans="1:1" ht="12.5" x14ac:dyDescent="0.25">
      <c r="A596" s="9"/>
    </row>
    <row r="597" spans="1:1" ht="12.5" x14ac:dyDescent="0.25">
      <c r="A597" s="9"/>
    </row>
    <row r="598" spans="1:1" ht="12.5" x14ac:dyDescent="0.25">
      <c r="A598" s="9"/>
    </row>
    <row r="599" spans="1:1" ht="12.5" x14ac:dyDescent="0.25">
      <c r="A599" s="9"/>
    </row>
    <row r="600" spans="1:1" ht="12.5" x14ac:dyDescent="0.25">
      <c r="A600" s="9"/>
    </row>
    <row r="601" spans="1:1" ht="12.5" x14ac:dyDescent="0.25">
      <c r="A601" s="9"/>
    </row>
    <row r="602" spans="1:1" ht="12.5" x14ac:dyDescent="0.25">
      <c r="A602" s="9"/>
    </row>
    <row r="603" spans="1:1" ht="12.5" x14ac:dyDescent="0.25">
      <c r="A603" s="9"/>
    </row>
    <row r="604" spans="1:1" ht="12.5" x14ac:dyDescent="0.25">
      <c r="A604" s="9"/>
    </row>
    <row r="605" spans="1:1" ht="12.5" x14ac:dyDescent="0.25">
      <c r="A605" s="9"/>
    </row>
    <row r="606" spans="1:1" ht="12.5" x14ac:dyDescent="0.25">
      <c r="A606" s="9"/>
    </row>
    <row r="607" spans="1:1" ht="12.5" x14ac:dyDescent="0.25">
      <c r="A607" s="9"/>
    </row>
    <row r="608" spans="1:1" ht="12.5" x14ac:dyDescent="0.25">
      <c r="A608" s="9"/>
    </row>
    <row r="609" spans="1:1" ht="12.5" x14ac:dyDescent="0.25">
      <c r="A609" s="9"/>
    </row>
    <row r="610" spans="1:1" ht="12.5" x14ac:dyDescent="0.25">
      <c r="A610" s="9"/>
    </row>
    <row r="611" spans="1:1" ht="12.5" x14ac:dyDescent="0.25">
      <c r="A611" s="9"/>
    </row>
    <row r="612" spans="1:1" ht="12.5" x14ac:dyDescent="0.25">
      <c r="A612" s="9"/>
    </row>
    <row r="613" spans="1:1" ht="12.5" x14ac:dyDescent="0.25">
      <c r="A613" s="9"/>
    </row>
    <row r="614" spans="1:1" ht="12.5" x14ac:dyDescent="0.25">
      <c r="A614" s="9"/>
    </row>
    <row r="615" spans="1:1" ht="12.5" x14ac:dyDescent="0.25">
      <c r="A615" s="9"/>
    </row>
    <row r="616" spans="1:1" ht="12.5" x14ac:dyDescent="0.25">
      <c r="A616" s="9"/>
    </row>
    <row r="617" spans="1:1" ht="12.5" x14ac:dyDescent="0.25">
      <c r="A617" s="9"/>
    </row>
    <row r="618" spans="1:1" ht="12.5" x14ac:dyDescent="0.25">
      <c r="A618" s="9"/>
    </row>
    <row r="619" spans="1:1" ht="12.5" x14ac:dyDescent="0.25">
      <c r="A619" s="9"/>
    </row>
    <row r="620" spans="1:1" ht="12.5" x14ac:dyDescent="0.25">
      <c r="A620" s="9"/>
    </row>
    <row r="621" spans="1:1" ht="12.5" x14ac:dyDescent="0.25">
      <c r="A621" s="9"/>
    </row>
    <row r="622" spans="1:1" ht="12.5" x14ac:dyDescent="0.25">
      <c r="A622" s="9"/>
    </row>
    <row r="623" spans="1:1" ht="12.5" x14ac:dyDescent="0.25">
      <c r="A623" s="9"/>
    </row>
    <row r="624" spans="1:1" ht="12.5" x14ac:dyDescent="0.25">
      <c r="A624" s="9"/>
    </row>
    <row r="625" spans="1:1" ht="12.5" x14ac:dyDescent="0.25">
      <c r="A625" s="9"/>
    </row>
    <row r="626" spans="1:1" ht="12.5" x14ac:dyDescent="0.25">
      <c r="A626" s="9"/>
    </row>
    <row r="627" spans="1:1" ht="12.5" x14ac:dyDescent="0.25">
      <c r="A627" s="9"/>
    </row>
    <row r="628" spans="1:1" ht="12.5" x14ac:dyDescent="0.25">
      <c r="A628" s="9"/>
    </row>
    <row r="629" spans="1:1" ht="12.5" x14ac:dyDescent="0.25">
      <c r="A629" s="9"/>
    </row>
    <row r="630" spans="1:1" ht="12.5" x14ac:dyDescent="0.25">
      <c r="A630" s="9"/>
    </row>
    <row r="631" spans="1:1" ht="12.5" x14ac:dyDescent="0.25">
      <c r="A631" s="9"/>
    </row>
    <row r="632" spans="1:1" ht="12.5" x14ac:dyDescent="0.25">
      <c r="A632" s="9"/>
    </row>
    <row r="633" spans="1:1" ht="12.5" x14ac:dyDescent="0.25">
      <c r="A633" s="9"/>
    </row>
    <row r="634" spans="1:1" ht="12.5" x14ac:dyDescent="0.25">
      <c r="A634" s="9"/>
    </row>
    <row r="635" spans="1:1" ht="12.5" x14ac:dyDescent="0.25">
      <c r="A635" s="9"/>
    </row>
    <row r="636" spans="1:1" ht="12.5" x14ac:dyDescent="0.25">
      <c r="A636" s="9"/>
    </row>
    <row r="637" spans="1:1" ht="12.5" x14ac:dyDescent="0.25">
      <c r="A637" s="9"/>
    </row>
    <row r="638" spans="1:1" ht="12.5" x14ac:dyDescent="0.25">
      <c r="A638" s="9"/>
    </row>
    <row r="639" spans="1:1" ht="12.5" x14ac:dyDescent="0.25">
      <c r="A639" s="9"/>
    </row>
    <row r="640" spans="1:1" ht="12.5" x14ac:dyDescent="0.25">
      <c r="A640" s="9"/>
    </row>
    <row r="641" spans="1:1" ht="12.5" x14ac:dyDescent="0.25">
      <c r="A641" s="9"/>
    </row>
    <row r="642" spans="1:1" ht="12.5" x14ac:dyDescent="0.25">
      <c r="A642" s="9"/>
    </row>
    <row r="643" spans="1:1" ht="12.5" x14ac:dyDescent="0.25">
      <c r="A643" s="9"/>
    </row>
    <row r="644" spans="1:1" ht="12.5" x14ac:dyDescent="0.25">
      <c r="A644" s="9"/>
    </row>
    <row r="645" spans="1:1" ht="12.5" x14ac:dyDescent="0.25">
      <c r="A645" s="9"/>
    </row>
    <row r="646" spans="1:1" ht="12.5" x14ac:dyDescent="0.25">
      <c r="A646" s="9"/>
    </row>
    <row r="647" spans="1:1" ht="12.5" x14ac:dyDescent="0.25">
      <c r="A647" s="9"/>
    </row>
    <row r="648" spans="1:1" ht="12.5" x14ac:dyDescent="0.25">
      <c r="A648" s="9"/>
    </row>
    <row r="649" spans="1:1" ht="12.5" x14ac:dyDescent="0.25">
      <c r="A649" s="9"/>
    </row>
    <row r="650" spans="1:1" ht="12.5" x14ac:dyDescent="0.25">
      <c r="A650" s="9"/>
    </row>
    <row r="651" spans="1:1" ht="12.5" x14ac:dyDescent="0.25">
      <c r="A651" s="9"/>
    </row>
    <row r="652" spans="1:1" ht="12.5" x14ac:dyDescent="0.25">
      <c r="A652" s="9"/>
    </row>
    <row r="653" spans="1:1" ht="12.5" x14ac:dyDescent="0.25">
      <c r="A653" s="9"/>
    </row>
    <row r="654" spans="1:1" ht="12.5" x14ac:dyDescent="0.25">
      <c r="A654" s="9"/>
    </row>
    <row r="655" spans="1:1" ht="12.5" x14ac:dyDescent="0.25">
      <c r="A655" s="9"/>
    </row>
    <row r="656" spans="1:1" ht="12.5" x14ac:dyDescent="0.25">
      <c r="A656" s="9"/>
    </row>
    <row r="657" spans="1:1" ht="12.5" x14ac:dyDescent="0.25">
      <c r="A657" s="9"/>
    </row>
    <row r="658" spans="1:1" ht="12.5" x14ac:dyDescent="0.25">
      <c r="A658" s="9"/>
    </row>
    <row r="659" spans="1:1" ht="12.5" x14ac:dyDescent="0.25">
      <c r="A659" s="9"/>
    </row>
    <row r="660" spans="1:1" ht="12.5" x14ac:dyDescent="0.25">
      <c r="A660" s="9"/>
    </row>
    <row r="661" spans="1:1" ht="12.5" x14ac:dyDescent="0.25">
      <c r="A661" s="9"/>
    </row>
    <row r="662" spans="1:1" ht="12.5" x14ac:dyDescent="0.25">
      <c r="A662" s="9"/>
    </row>
    <row r="663" spans="1:1" ht="12.5" x14ac:dyDescent="0.25">
      <c r="A663" s="9"/>
    </row>
    <row r="664" spans="1:1" ht="12.5" x14ac:dyDescent="0.25">
      <c r="A664" s="9"/>
    </row>
    <row r="665" spans="1:1" ht="12.5" x14ac:dyDescent="0.25">
      <c r="A665" s="9"/>
    </row>
    <row r="666" spans="1:1" ht="12.5" x14ac:dyDescent="0.25">
      <c r="A666" s="9"/>
    </row>
    <row r="667" spans="1:1" ht="12.5" x14ac:dyDescent="0.25">
      <c r="A667" s="9"/>
    </row>
    <row r="668" spans="1:1" ht="12.5" x14ac:dyDescent="0.25">
      <c r="A668" s="9"/>
    </row>
    <row r="669" spans="1:1" ht="12.5" x14ac:dyDescent="0.25">
      <c r="A669" s="9"/>
    </row>
    <row r="670" spans="1:1" ht="12.5" x14ac:dyDescent="0.25">
      <c r="A670" s="9"/>
    </row>
    <row r="671" spans="1:1" ht="12.5" x14ac:dyDescent="0.25">
      <c r="A671" s="9"/>
    </row>
    <row r="672" spans="1:1" ht="12.5" x14ac:dyDescent="0.25">
      <c r="A672" s="9"/>
    </row>
    <row r="673" spans="1:1" ht="12.5" x14ac:dyDescent="0.25">
      <c r="A673" s="9"/>
    </row>
    <row r="674" spans="1:1" ht="12.5" x14ac:dyDescent="0.25">
      <c r="A674" s="9"/>
    </row>
    <row r="675" spans="1:1" ht="12.5" x14ac:dyDescent="0.25">
      <c r="A675" s="9"/>
    </row>
    <row r="676" spans="1:1" ht="12.5" x14ac:dyDescent="0.25">
      <c r="A676" s="9"/>
    </row>
    <row r="677" spans="1:1" ht="12.5" x14ac:dyDescent="0.25">
      <c r="A677" s="9"/>
    </row>
    <row r="678" spans="1:1" ht="12.5" x14ac:dyDescent="0.25">
      <c r="A678" s="9"/>
    </row>
    <row r="679" spans="1:1" ht="12.5" x14ac:dyDescent="0.25">
      <c r="A679" s="9"/>
    </row>
    <row r="680" spans="1:1" ht="12.5" x14ac:dyDescent="0.25">
      <c r="A680" s="9"/>
    </row>
    <row r="681" spans="1:1" ht="12.5" x14ac:dyDescent="0.25">
      <c r="A681" s="9"/>
    </row>
    <row r="682" spans="1:1" ht="12.5" x14ac:dyDescent="0.25">
      <c r="A682" s="9"/>
    </row>
    <row r="683" spans="1:1" ht="12.5" x14ac:dyDescent="0.25">
      <c r="A683" s="9"/>
    </row>
    <row r="684" spans="1:1" ht="12.5" x14ac:dyDescent="0.25">
      <c r="A684" s="9"/>
    </row>
    <row r="685" spans="1:1" ht="12.5" x14ac:dyDescent="0.25">
      <c r="A685" s="9"/>
    </row>
    <row r="686" spans="1:1" ht="12.5" x14ac:dyDescent="0.25">
      <c r="A686" s="9"/>
    </row>
    <row r="687" spans="1:1" ht="12.5" x14ac:dyDescent="0.25">
      <c r="A687" s="9"/>
    </row>
    <row r="688" spans="1:1" ht="12.5" x14ac:dyDescent="0.25">
      <c r="A688" s="9"/>
    </row>
    <row r="689" spans="1:1" ht="12.5" x14ac:dyDescent="0.25">
      <c r="A689" s="9"/>
    </row>
    <row r="690" spans="1:1" ht="12.5" x14ac:dyDescent="0.25">
      <c r="A690" s="9"/>
    </row>
    <row r="691" spans="1:1" ht="12.5" x14ac:dyDescent="0.25">
      <c r="A691" s="9"/>
    </row>
    <row r="692" spans="1:1" ht="12.5" x14ac:dyDescent="0.25">
      <c r="A692" s="9"/>
    </row>
    <row r="693" spans="1:1" ht="12.5" x14ac:dyDescent="0.25">
      <c r="A693" s="9"/>
    </row>
    <row r="694" spans="1:1" ht="12.5" x14ac:dyDescent="0.25">
      <c r="A694" s="9"/>
    </row>
    <row r="695" spans="1:1" ht="12.5" x14ac:dyDescent="0.25">
      <c r="A695" s="9"/>
    </row>
    <row r="696" spans="1:1" ht="12.5" x14ac:dyDescent="0.25">
      <c r="A696" s="9"/>
    </row>
    <row r="697" spans="1:1" ht="12.5" x14ac:dyDescent="0.25">
      <c r="A697" s="9"/>
    </row>
    <row r="698" spans="1:1" ht="12.5" x14ac:dyDescent="0.25">
      <c r="A698" s="9"/>
    </row>
    <row r="699" spans="1:1" ht="12.5" x14ac:dyDescent="0.25">
      <c r="A699" s="9"/>
    </row>
    <row r="700" spans="1:1" ht="12.5" x14ac:dyDescent="0.25">
      <c r="A700" s="9"/>
    </row>
    <row r="701" spans="1:1" ht="12.5" x14ac:dyDescent="0.25">
      <c r="A701" s="9"/>
    </row>
    <row r="702" spans="1:1" ht="12.5" x14ac:dyDescent="0.25">
      <c r="A702" s="9"/>
    </row>
    <row r="703" spans="1:1" ht="12.5" x14ac:dyDescent="0.25">
      <c r="A703" s="9"/>
    </row>
    <row r="704" spans="1:1" ht="12.5" x14ac:dyDescent="0.25">
      <c r="A704" s="9"/>
    </row>
    <row r="705" spans="1:1" ht="12.5" x14ac:dyDescent="0.25">
      <c r="A705" s="9"/>
    </row>
    <row r="706" spans="1:1" ht="12.5" x14ac:dyDescent="0.25">
      <c r="A706" s="9"/>
    </row>
    <row r="707" spans="1:1" ht="12.5" x14ac:dyDescent="0.25">
      <c r="A707" s="9"/>
    </row>
    <row r="708" spans="1:1" ht="12.5" x14ac:dyDescent="0.25">
      <c r="A708" s="9"/>
    </row>
    <row r="709" spans="1:1" ht="12.5" x14ac:dyDescent="0.25">
      <c r="A709" s="9"/>
    </row>
    <row r="710" spans="1:1" ht="12.5" x14ac:dyDescent="0.25">
      <c r="A710" s="9"/>
    </row>
    <row r="711" spans="1:1" ht="12.5" x14ac:dyDescent="0.25">
      <c r="A711" s="9"/>
    </row>
    <row r="712" spans="1:1" ht="12.5" x14ac:dyDescent="0.25">
      <c r="A712" s="9"/>
    </row>
    <row r="713" spans="1:1" ht="12.5" x14ac:dyDescent="0.25">
      <c r="A713" s="9"/>
    </row>
    <row r="714" spans="1:1" ht="12.5" x14ac:dyDescent="0.25">
      <c r="A714" s="9"/>
    </row>
    <row r="715" spans="1:1" ht="12.5" x14ac:dyDescent="0.25">
      <c r="A715" s="9"/>
    </row>
    <row r="716" spans="1:1" ht="12.5" x14ac:dyDescent="0.25">
      <c r="A716" s="9"/>
    </row>
    <row r="717" spans="1:1" ht="12.5" x14ac:dyDescent="0.25">
      <c r="A717" s="9"/>
    </row>
    <row r="718" spans="1:1" ht="12.5" x14ac:dyDescent="0.25">
      <c r="A718" s="9"/>
    </row>
    <row r="719" spans="1:1" ht="12.5" x14ac:dyDescent="0.25">
      <c r="A719" s="9"/>
    </row>
    <row r="720" spans="1:1" ht="12.5" x14ac:dyDescent="0.25">
      <c r="A720" s="9"/>
    </row>
    <row r="721" spans="1:1" ht="12.5" x14ac:dyDescent="0.25">
      <c r="A721" s="9"/>
    </row>
    <row r="722" spans="1:1" ht="12.5" x14ac:dyDescent="0.25">
      <c r="A722" s="9"/>
    </row>
    <row r="723" spans="1:1" ht="12.5" x14ac:dyDescent="0.25">
      <c r="A723" s="9"/>
    </row>
    <row r="724" spans="1:1" ht="12.5" x14ac:dyDescent="0.25">
      <c r="A724" s="9"/>
    </row>
    <row r="725" spans="1:1" ht="12.5" x14ac:dyDescent="0.25">
      <c r="A725" s="9"/>
    </row>
    <row r="726" spans="1:1" ht="12.5" x14ac:dyDescent="0.25">
      <c r="A726" s="9"/>
    </row>
    <row r="727" spans="1:1" ht="12.5" x14ac:dyDescent="0.25">
      <c r="A727" s="9"/>
    </row>
    <row r="728" spans="1:1" ht="12.5" x14ac:dyDescent="0.25">
      <c r="A728" s="9"/>
    </row>
    <row r="729" spans="1:1" ht="12.5" x14ac:dyDescent="0.25">
      <c r="A729" s="9"/>
    </row>
    <row r="730" spans="1:1" ht="12.5" x14ac:dyDescent="0.25">
      <c r="A730" s="9"/>
    </row>
    <row r="731" spans="1:1" ht="12.5" x14ac:dyDescent="0.25">
      <c r="A731" s="9"/>
    </row>
    <row r="732" spans="1:1" ht="12.5" x14ac:dyDescent="0.25">
      <c r="A732" s="9"/>
    </row>
    <row r="733" spans="1:1" ht="12.5" x14ac:dyDescent="0.25">
      <c r="A733" s="9"/>
    </row>
    <row r="734" spans="1:1" ht="12.5" x14ac:dyDescent="0.25">
      <c r="A734" s="9"/>
    </row>
    <row r="735" spans="1:1" ht="12.5" x14ac:dyDescent="0.25">
      <c r="A735" s="9"/>
    </row>
    <row r="736" spans="1:1" ht="12.5" x14ac:dyDescent="0.25">
      <c r="A736" s="9"/>
    </row>
    <row r="737" spans="1:1" ht="12.5" x14ac:dyDescent="0.25">
      <c r="A737" s="9"/>
    </row>
    <row r="738" spans="1:1" ht="12.5" x14ac:dyDescent="0.25">
      <c r="A738" s="9"/>
    </row>
    <row r="739" spans="1:1" ht="12.5" x14ac:dyDescent="0.25">
      <c r="A739" s="9"/>
    </row>
    <row r="740" spans="1:1" ht="12.5" x14ac:dyDescent="0.25">
      <c r="A740" s="9"/>
    </row>
    <row r="741" spans="1:1" ht="12.5" x14ac:dyDescent="0.25">
      <c r="A741" s="9"/>
    </row>
    <row r="742" spans="1:1" ht="12.5" x14ac:dyDescent="0.25">
      <c r="A742" s="9"/>
    </row>
    <row r="743" spans="1:1" ht="12.5" x14ac:dyDescent="0.25">
      <c r="A743" s="9"/>
    </row>
    <row r="744" spans="1:1" ht="12.5" x14ac:dyDescent="0.25">
      <c r="A744" s="9"/>
    </row>
    <row r="745" spans="1:1" ht="12.5" x14ac:dyDescent="0.25">
      <c r="A745" s="9"/>
    </row>
    <row r="746" spans="1:1" ht="12.5" x14ac:dyDescent="0.25">
      <c r="A746" s="9"/>
    </row>
    <row r="747" spans="1:1" ht="12.5" x14ac:dyDescent="0.25">
      <c r="A747" s="9"/>
    </row>
    <row r="748" spans="1:1" ht="12.5" x14ac:dyDescent="0.25">
      <c r="A748" s="9"/>
    </row>
    <row r="749" spans="1:1" ht="12.5" x14ac:dyDescent="0.25">
      <c r="A749" s="9"/>
    </row>
    <row r="750" spans="1:1" ht="12.5" x14ac:dyDescent="0.25">
      <c r="A750" s="9"/>
    </row>
    <row r="751" spans="1:1" ht="12.5" x14ac:dyDescent="0.25">
      <c r="A751" s="9"/>
    </row>
    <row r="752" spans="1:1" ht="12.5" x14ac:dyDescent="0.25">
      <c r="A752" s="9"/>
    </row>
    <row r="753" spans="1:1" ht="12.5" x14ac:dyDescent="0.25">
      <c r="A753" s="9"/>
    </row>
    <row r="754" spans="1:1" ht="12.5" x14ac:dyDescent="0.25">
      <c r="A754" s="9"/>
    </row>
    <row r="755" spans="1:1" ht="12.5" x14ac:dyDescent="0.25">
      <c r="A755" s="9"/>
    </row>
    <row r="756" spans="1:1" ht="12.5" x14ac:dyDescent="0.25">
      <c r="A756" s="9"/>
    </row>
    <row r="757" spans="1:1" ht="12.5" x14ac:dyDescent="0.25">
      <c r="A757" s="9"/>
    </row>
    <row r="758" spans="1:1" ht="12.5" x14ac:dyDescent="0.25">
      <c r="A758" s="9"/>
    </row>
    <row r="759" spans="1:1" ht="12.5" x14ac:dyDescent="0.25">
      <c r="A759" s="9"/>
    </row>
    <row r="760" spans="1:1" ht="12.5" x14ac:dyDescent="0.25">
      <c r="A760" s="9"/>
    </row>
    <row r="761" spans="1:1" ht="12.5" x14ac:dyDescent="0.25">
      <c r="A761" s="9"/>
    </row>
    <row r="762" spans="1:1" ht="12.5" x14ac:dyDescent="0.25">
      <c r="A762" s="9"/>
    </row>
    <row r="763" spans="1:1" ht="12.5" x14ac:dyDescent="0.25">
      <c r="A763" s="9"/>
    </row>
    <row r="764" spans="1:1" ht="12.5" x14ac:dyDescent="0.25">
      <c r="A764" s="9"/>
    </row>
    <row r="765" spans="1:1" ht="12.5" x14ac:dyDescent="0.25">
      <c r="A765" s="9"/>
    </row>
    <row r="766" spans="1:1" ht="12.5" x14ac:dyDescent="0.25">
      <c r="A766" s="9"/>
    </row>
    <row r="767" spans="1:1" ht="12.5" x14ac:dyDescent="0.25">
      <c r="A767" s="9"/>
    </row>
    <row r="768" spans="1:1" ht="12.5" x14ac:dyDescent="0.25">
      <c r="A768" s="9"/>
    </row>
    <row r="769" spans="1:1" ht="12.5" x14ac:dyDescent="0.25">
      <c r="A769" s="9"/>
    </row>
    <row r="770" spans="1:1" ht="12.5" x14ac:dyDescent="0.25">
      <c r="A770" s="9"/>
    </row>
    <row r="771" spans="1:1" ht="12.5" x14ac:dyDescent="0.25">
      <c r="A771" s="9"/>
    </row>
    <row r="772" spans="1:1" ht="12.5" x14ac:dyDescent="0.25">
      <c r="A772" s="9"/>
    </row>
    <row r="773" spans="1:1" ht="12.5" x14ac:dyDescent="0.25">
      <c r="A773" s="9"/>
    </row>
    <row r="774" spans="1:1" ht="12.5" x14ac:dyDescent="0.25">
      <c r="A774" s="9"/>
    </row>
    <row r="775" spans="1:1" ht="12.5" x14ac:dyDescent="0.25">
      <c r="A775" s="9"/>
    </row>
    <row r="776" spans="1:1" ht="12.5" x14ac:dyDescent="0.25">
      <c r="A776" s="9"/>
    </row>
    <row r="777" spans="1:1" ht="12.5" x14ac:dyDescent="0.25">
      <c r="A777" s="9"/>
    </row>
    <row r="778" spans="1:1" ht="12.5" x14ac:dyDescent="0.25">
      <c r="A778" s="9"/>
    </row>
    <row r="779" spans="1:1" ht="12.5" x14ac:dyDescent="0.25">
      <c r="A779" s="9"/>
    </row>
    <row r="780" spans="1:1" ht="12.5" x14ac:dyDescent="0.25">
      <c r="A780" s="9"/>
    </row>
    <row r="781" spans="1:1" ht="12.5" x14ac:dyDescent="0.25">
      <c r="A781" s="9"/>
    </row>
    <row r="782" spans="1:1" ht="12.5" x14ac:dyDescent="0.25">
      <c r="A782" s="9"/>
    </row>
    <row r="783" spans="1:1" ht="12.5" x14ac:dyDescent="0.25">
      <c r="A783" s="9"/>
    </row>
    <row r="784" spans="1:1" ht="12.5" x14ac:dyDescent="0.25">
      <c r="A784" s="9"/>
    </row>
    <row r="785" spans="1:1" ht="12.5" x14ac:dyDescent="0.25">
      <c r="A785" s="9"/>
    </row>
    <row r="786" spans="1:1" ht="12.5" x14ac:dyDescent="0.25">
      <c r="A786" s="9"/>
    </row>
    <row r="787" spans="1:1" ht="12.5" x14ac:dyDescent="0.25">
      <c r="A787" s="9"/>
    </row>
    <row r="788" spans="1:1" ht="12.5" x14ac:dyDescent="0.25">
      <c r="A788" s="9"/>
    </row>
    <row r="789" spans="1:1" ht="12.5" x14ac:dyDescent="0.25">
      <c r="A789" s="9"/>
    </row>
    <row r="790" spans="1:1" ht="12.5" x14ac:dyDescent="0.25">
      <c r="A790" s="9"/>
    </row>
    <row r="791" spans="1:1" ht="12.5" x14ac:dyDescent="0.25">
      <c r="A791" s="9"/>
    </row>
    <row r="792" spans="1:1" ht="12.5" x14ac:dyDescent="0.25">
      <c r="A792" s="9"/>
    </row>
    <row r="793" spans="1:1" ht="12.5" x14ac:dyDescent="0.25">
      <c r="A793" s="9"/>
    </row>
    <row r="794" spans="1:1" ht="12.5" x14ac:dyDescent="0.25">
      <c r="A794" s="9"/>
    </row>
    <row r="795" spans="1:1" ht="12.5" x14ac:dyDescent="0.25">
      <c r="A795" s="9"/>
    </row>
    <row r="796" spans="1:1" ht="12.5" x14ac:dyDescent="0.25">
      <c r="A796" s="9"/>
    </row>
    <row r="797" spans="1:1" ht="12.5" x14ac:dyDescent="0.25">
      <c r="A797" s="9"/>
    </row>
    <row r="798" spans="1:1" ht="12.5" x14ac:dyDescent="0.25">
      <c r="A798" s="9"/>
    </row>
    <row r="799" spans="1:1" ht="12.5" x14ac:dyDescent="0.25">
      <c r="A799" s="9"/>
    </row>
    <row r="800" spans="1:1" ht="12.5" x14ac:dyDescent="0.25">
      <c r="A800" s="9"/>
    </row>
    <row r="801" spans="1:1" ht="12.5" x14ac:dyDescent="0.25">
      <c r="A801" s="9"/>
    </row>
    <row r="802" spans="1:1" ht="12.5" x14ac:dyDescent="0.25">
      <c r="A802" s="9"/>
    </row>
    <row r="803" spans="1:1" ht="12.5" x14ac:dyDescent="0.25">
      <c r="A803" s="9"/>
    </row>
    <row r="804" spans="1:1" ht="12.5" x14ac:dyDescent="0.25">
      <c r="A804" s="9"/>
    </row>
    <row r="805" spans="1:1" ht="12.5" x14ac:dyDescent="0.25">
      <c r="A805" s="9"/>
    </row>
    <row r="806" spans="1:1" ht="12.5" x14ac:dyDescent="0.25">
      <c r="A806" s="9"/>
    </row>
    <row r="807" spans="1:1" ht="12.5" x14ac:dyDescent="0.25">
      <c r="A807" s="9"/>
    </row>
    <row r="808" spans="1:1" ht="12.5" x14ac:dyDescent="0.25">
      <c r="A808" s="9"/>
    </row>
    <row r="809" spans="1:1" ht="12.5" x14ac:dyDescent="0.25">
      <c r="A809" s="9"/>
    </row>
    <row r="810" spans="1:1" ht="12.5" x14ac:dyDescent="0.25">
      <c r="A810" s="9"/>
    </row>
    <row r="811" spans="1:1" ht="12.5" x14ac:dyDescent="0.25">
      <c r="A811" s="9"/>
    </row>
    <row r="812" spans="1:1" ht="12.5" x14ac:dyDescent="0.25">
      <c r="A812" s="9"/>
    </row>
    <row r="813" spans="1:1" ht="12.5" x14ac:dyDescent="0.25">
      <c r="A813" s="9"/>
    </row>
    <row r="814" spans="1:1" ht="12.5" x14ac:dyDescent="0.25">
      <c r="A814" s="9"/>
    </row>
    <row r="815" spans="1:1" ht="12.5" x14ac:dyDescent="0.25">
      <c r="A815" s="9"/>
    </row>
    <row r="816" spans="1:1" ht="12.5" x14ac:dyDescent="0.25">
      <c r="A816" s="9"/>
    </row>
    <row r="817" spans="1:1" ht="12.5" x14ac:dyDescent="0.25">
      <c r="A817" s="9"/>
    </row>
    <row r="818" spans="1:1" ht="12.5" x14ac:dyDescent="0.25">
      <c r="A818" s="9"/>
    </row>
    <row r="819" spans="1:1" ht="12.5" x14ac:dyDescent="0.25">
      <c r="A819" s="9"/>
    </row>
    <row r="820" spans="1:1" ht="12.5" x14ac:dyDescent="0.25">
      <c r="A820" s="9"/>
    </row>
    <row r="821" spans="1:1" ht="12.5" x14ac:dyDescent="0.25">
      <c r="A821" s="9"/>
    </row>
    <row r="822" spans="1:1" ht="12.5" x14ac:dyDescent="0.25">
      <c r="A822" s="9"/>
    </row>
    <row r="823" spans="1:1" ht="12.5" x14ac:dyDescent="0.25">
      <c r="A823" s="9"/>
    </row>
    <row r="824" spans="1:1" ht="12.5" x14ac:dyDescent="0.25">
      <c r="A824" s="9"/>
    </row>
    <row r="825" spans="1:1" ht="12.5" x14ac:dyDescent="0.25">
      <c r="A825" s="9"/>
    </row>
    <row r="826" spans="1:1" ht="12.5" x14ac:dyDescent="0.25">
      <c r="A826" s="9"/>
    </row>
    <row r="827" spans="1:1" ht="12.5" x14ac:dyDescent="0.25">
      <c r="A827" s="9"/>
    </row>
    <row r="828" spans="1:1" ht="12.5" x14ac:dyDescent="0.25">
      <c r="A828" s="9"/>
    </row>
    <row r="829" spans="1:1" ht="12.5" x14ac:dyDescent="0.25">
      <c r="A829" s="9"/>
    </row>
    <row r="830" spans="1:1" ht="12.5" x14ac:dyDescent="0.25">
      <c r="A830" s="9"/>
    </row>
    <row r="831" spans="1:1" ht="12.5" x14ac:dyDescent="0.25">
      <c r="A831" s="9"/>
    </row>
    <row r="832" spans="1:1" ht="12.5" x14ac:dyDescent="0.25">
      <c r="A832" s="9"/>
    </row>
    <row r="833" spans="1:1" ht="12.5" x14ac:dyDescent="0.25">
      <c r="A833" s="9"/>
    </row>
    <row r="834" spans="1:1" ht="12.5" x14ac:dyDescent="0.25">
      <c r="A834" s="9"/>
    </row>
    <row r="835" spans="1:1" ht="12.5" x14ac:dyDescent="0.25">
      <c r="A835" s="9"/>
    </row>
    <row r="836" spans="1:1" ht="12.5" x14ac:dyDescent="0.25">
      <c r="A836" s="9"/>
    </row>
    <row r="837" spans="1:1" ht="12.5" x14ac:dyDescent="0.25">
      <c r="A837" s="9"/>
    </row>
    <row r="838" spans="1:1" ht="12.5" x14ac:dyDescent="0.25">
      <c r="A838" s="9"/>
    </row>
    <row r="839" spans="1:1" ht="12.5" x14ac:dyDescent="0.25">
      <c r="A839" s="9"/>
    </row>
    <row r="840" spans="1:1" ht="12.5" x14ac:dyDescent="0.25">
      <c r="A840" s="9"/>
    </row>
    <row r="841" spans="1:1" ht="12.5" x14ac:dyDescent="0.25">
      <c r="A841" s="9"/>
    </row>
    <row r="842" spans="1:1" ht="12.5" x14ac:dyDescent="0.25">
      <c r="A842" s="9"/>
    </row>
    <row r="843" spans="1:1" ht="12.5" x14ac:dyDescent="0.25">
      <c r="A843" s="9"/>
    </row>
    <row r="844" spans="1:1" ht="12.5" x14ac:dyDescent="0.25">
      <c r="A844" s="9"/>
    </row>
    <row r="845" spans="1:1" ht="12.5" x14ac:dyDescent="0.25">
      <c r="A845" s="9"/>
    </row>
    <row r="846" spans="1:1" ht="12.5" x14ac:dyDescent="0.25">
      <c r="A846" s="9"/>
    </row>
    <row r="847" spans="1:1" ht="12.5" x14ac:dyDescent="0.25">
      <c r="A847" s="9"/>
    </row>
    <row r="848" spans="1:1" ht="12.5" x14ac:dyDescent="0.25">
      <c r="A848" s="9"/>
    </row>
    <row r="849" spans="1:1" ht="12.5" x14ac:dyDescent="0.25">
      <c r="A849" s="9"/>
    </row>
    <row r="850" spans="1:1" ht="12.5" x14ac:dyDescent="0.25">
      <c r="A850" s="9"/>
    </row>
    <row r="851" spans="1:1" ht="12.5" x14ac:dyDescent="0.25">
      <c r="A851" s="9"/>
    </row>
    <row r="852" spans="1:1" ht="12.5" x14ac:dyDescent="0.25">
      <c r="A852" s="9"/>
    </row>
    <row r="853" spans="1:1" ht="12.5" x14ac:dyDescent="0.25">
      <c r="A853" s="9"/>
    </row>
    <row r="854" spans="1:1" ht="12.5" x14ac:dyDescent="0.25">
      <c r="A854" s="9"/>
    </row>
    <row r="855" spans="1:1" ht="12.5" x14ac:dyDescent="0.25">
      <c r="A855" s="9"/>
    </row>
    <row r="856" spans="1:1" ht="12.5" x14ac:dyDescent="0.25">
      <c r="A856" s="9"/>
    </row>
    <row r="857" spans="1:1" ht="12.5" x14ac:dyDescent="0.25">
      <c r="A857" s="9"/>
    </row>
    <row r="858" spans="1:1" ht="12.5" x14ac:dyDescent="0.25">
      <c r="A858" s="9"/>
    </row>
    <row r="859" spans="1:1" ht="12.5" x14ac:dyDescent="0.25">
      <c r="A859" s="9"/>
    </row>
    <row r="860" spans="1:1" ht="12.5" x14ac:dyDescent="0.25">
      <c r="A860" s="9"/>
    </row>
    <row r="861" spans="1:1" ht="12.5" x14ac:dyDescent="0.25">
      <c r="A861" s="9"/>
    </row>
    <row r="862" spans="1:1" ht="12.5" x14ac:dyDescent="0.25">
      <c r="A862" s="9"/>
    </row>
    <row r="863" spans="1:1" ht="12.5" x14ac:dyDescent="0.25">
      <c r="A863" s="9"/>
    </row>
    <row r="864" spans="1:1" ht="12.5" x14ac:dyDescent="0.25">
      <c r="A864" s="9"/>
    </row>
    <row r="865" spans="1:1" ht="12.5" x14ac:dyDescent="0.25">
      <c r="A865" s="9"/>
    </row>
    <row r="866" spans="1:1" ht="12.5" x14ac:dyDescent="0.25">
      <c r="A866" s="9"/>
    </row>
    <row r="867" spans="1:1" ht="12.5" x14ac:dyDescent="0.25">
      <c r="A867" s="9"/>
    </row>
    <row r="868" spans="1:1" ht="12.5" x14ac:dyDescent="0.25">
      <c r="A868" s="9"/>
    </row>
    <row r="869" spans="1:1" ht="12.5" x14ac:dyDescent="0.25">
      <c r="A869" s="9"/>
    </row>
    <row r="870" spans="1:1" ht="12.5" x14ac:dyDescent="0.25">
      <c r="A870" s="9"/>
    </row>
    <row r="871" spans="1:1" ht="12.5" x14ac:dyDescent="0.25">
      <c r="A871" s="9"/>
    </row>
    <row r="872" spans="1:1" ht="12.5" x14ac:dyDescent="0.25">
      <c r="A872" s="9"/>
    </row>
    <row r="873" spans="1:1" ht="12.5" x14ac:dyDescent="0.25">
      <c r="A873" s="9"/>
    </row>
    <row r="874" spans="1:1" ht="12.5" x14ac:dyDescent="0.25">
      <c r="A874" s="9"/>
    </row>
    <row r="875" spans="1:1" ht="12.5" x14ac:dyDescent="0.25">
      <c r="A875" s="9"/>
    </row>
    <row r="876" spans="1:1" ht="12.5" x14ac:dyDescent="0.25">
      <c r="A876" s="9"/>
    </row>
    <row r="877" spans="1:1" ht="12.5" x14ac:dyDescent="0.25">
      <c r="A877" s="9"/>
    </row>
    <row r="878" spans="1:1" ht="12.5" x14ac:dyDescent="0.25">
      <c r="A878" s="9"/>
    </row>
    <row r="879" spans="1:1" ht="12.5" x14ac:dyDescent="0.25">
      <c r="A879" s="9"/>
    </row>
    <row r="880" spans="1:1" ht="12.5" x14ac:dyDescent="0.25">
      <c r="A880" s="9"/>
    </row>
    <row r="881" spans="1:1" ht="12.5" x14ac:dyDescent="0.25">
      <c r="A881" s="9"/>
    </row>
    <row r="882" spans="1:1" ht="12.5" x14ac:dyDescent="0.25">
      <c r="A882" s="9"/>
    </row>
    <row r="883" spans="1:1" ht="12.5" x14ac:dyDescent="0.25">
      <c r="A883" s="9"/>
    </row>
    <row r="884" spans="1:1" ht="12.5" x14ac:dyDescent="0.25">
      <c r="A884" s="9"/>
    </row>
    <row r="885" spans="1:1" ht="12.5" x14ac:dyDescent="0.25">
      <c r="A885" s="9"/>
    </row>
    <row r="886" spans="1:1" ht="12.5" x14ac:dyDescent="0.25">
      <c r="A886" s="9"/>
    </row>
    <row r="887" spans="1:1" ht="12.5" x14ac:dyDescent="0.25">
      <c r="A887" s="9"/>
    </row>
    <row r="888" spans="1:1" ht="12.5" x14ac:dyDescent="0.25">
      <c r="A888" s="9"/>
    </row>
    <row r="889" spans="1:1" ht="12.5" x14ac:dyDescent="0.25">
      <c r="A889" s="9"/>
    </row>
    <row r="890" spans="1:1" ht="12.5" x14ac:dyDescent="0.25">
      <c r="A890" s="9"/>
    </row>
    <row r="891" spans="1:1" ht="12.5" x14ac:dyDescent="0.25">
      <c r="A891" s="9"/>
    </row>
    <row r="892" spans="1:1" ht="12.5" x14ac:dyDescent="0.25">
      <c r="A892" s="9"/>
    </row>
    <row r="893" spans="1:1" ht="12.5" x14ac:dyDescent="0.25">
      <c r="A893" s="9"/>
    </row>
    <row r="894" spans="1:1" ht="12.5" x14ac:dyDescent="0.25">
      <c r="A894" s="9"/>
    </row>
    <row r="895" spans="1:1" ht="12.5" x14ac:dyDescent="0.25">
      <c r="A895" s="9"/>
    </row>
    <row r="896" spans="1:1" ht="12.5" x14ac:dyDescent="0.25">
      <c r="A896" s="9"/>
    </row>
    <row r="897" spans="1:1" ht="12.5" x14ac:dyDescent="0.25">
      <c r="A897" s="9"/>
    </row>
    <row r="898" spans="1:1" ht="12.5" x14ac:dyDescent="0.25">
      <c r="A898" s="9"/>
    </row>
    <row r="899" spans="1:1" ht="12.5" x14ac:dyDescent="0.25">
      <c r="A899" s="9"/>
    </row>
    <row r="900" spans="1:1" ht="12.5" x14ac:dyDescent="0.25">
      <c r="A900" s="9"/>
    </row>
    <row r="901" spans="1:1" ht="12.5" x14ac:dyDescent="0.25">
      <c r="A901" s="9"/>
    </row>
    <row r="902" spans="1:1" ht="12.5" x14ac:dyDescent="0.25">
      <c r="A902" s="9"/>
    </row>
    <row r="903" spans="1:1" ht="12.5" x14ac:dyDescent="0.25">
      <c r="A903" s="9"/>
    </row>
    <row r="904" spans="1:1" ht="12.5" x14ac:dyDescent="0.25">
      <c r="A904" s="9"/>
    </row>
    <row r="905" spans="1:1" ht="12.5" x14ac:dyDescent="0.25">
      <c r="A905" s="9"/>
    </row>
    <row r="906" spans="1:1" ht="12.5" x14ac:dyDescent="0.25">
      <c r="A906" s="9"/>
    </row>
    <row r="907" spans="1:1" ht="12.5" x14ac:dyDescent="0.25">
      <c r="A907" s="9"/>
    </row>
    <row r="908" spans="1:1" ht="12.5" x14ac:dyDescent="0.25">
      <c r="A908" s="9"/>
    </row>
    <row r="909" spans="1:1" ht="12.5" x14ac:dyDescent="0.25">
      <c r="A909" s="9"/>
    </row>
    <row r="910" spans="1:1" ht="12.5" x14ac:dyDescent="0.25">
      <c r="A910" s="9"/>
    </row>
    <row r="911" spans="1:1" ht="12.5" x14ac:dyDescent="0.25">
      <c r="A911" s="9"/>
    </row>
    <row r="912" spans="1:1" ht="12.5" x14ac:dyDescent="0.25">
      <c r="A912" s="9"/>
    </row>
    <row r="913" spans="1:1" ht="12.5" x14ac:dyDescent="0.25">
      <c r="A913" s="9"/>
    </row>
    <row r="914" spans="1:1" ht="12.5" x14ac:dyDescent="0.25">
      <c r="A914" s="9"/>
    </row>
    <row r="915" spans="1:1" ht="12.5" x14ac:dyDescent="0.25">
      <c r="A915" s="9"/>
    </row>
    <row r="916" spans="1:1" ht="12.5" x14ac:dyDescent="0.25">
      <c r="A916" s="9"/>
    </row>
    <row r="917" spans="1:1" ht="12.5" x14ac:dyDescent="0.25">
      <c r="A917" s="9"/>
    </row>
    <row r="918" spans="1:1" ht="12.5" x14ac:dyDescent="0.25">
      <c r="A918" s="9"/>
    </row>
    <row r="919" spans="1:1" ht="12.5" x14ac:dyDescent="0.25">
      <c r="A919" s="9"/>
    </row>
    <row r="920" spans="1:1" ht="12.5" x14ac:dyDescent="0.25">
      <c r="A920" s="9"/>
    </row>
    <row r="921" spans="1:1" ht="12.5" x14ac:dyDescent="0.25">
      <c r="A921" s="9"/>
    </row>
    <row r="922" spans="1:1" ht="12.5" x14ac:dyDescent="0.25">
      <c r="A922" s="9"/>
    </row>
    <row r="923" spans="1:1" ht="12.5" x14ac:dyDescent="0.25">
      <c r="A923" s="9"/>
    </row>
    <row r="924" spans="1:1" ht="12.5" x14ac:dyDescent="0.25">
      <c r="A924" s="9"/>
    </row>
    <row r="925" spans="1:1" ht="12.5" x14ac:dyDescent="0.25">
      <c r="A925" s="9"/>
    </row>
    <row r="926" spans="1:1" ht="12.5" x14ac:dyDescent="0.25">
      <c r="A926" s="9"/>
    </row>
    <row r="927" spans="1:1" ht="12.5" x14ac:dyDescent="0.25">
      <c r="A927" s="9"/>
    </row>
    <row r="928" spans="1:1" ht="12.5" x14ac:dyDescent="0.25">
      <c r="A928" s="9"/>
    </row>
    <row r="929" spans="1:1" ht="12.5" x14ac:dyDescent="0.25">
      <c r="A929" s="9"/>
    </row>
    <row r="930" spans="1:1" ht="12.5" x14ac:dyDescent="0.25">
      <c r="A930" s="9"/>
    </row>
    <row r="931" spans="1:1" ht="12.5" x14ac:dyDescent="0.25">
      <c r="A931" s="9"/>
    </row>
    <row r="932" spans="1:1" ht="12.5" x14ac:dyDescent="0.25">
      <c r="A932" s="9"/>
    </row>
    <row r="933" spans="1:1" ht="12.5" x14ac:dyDescent="0.25">
      <c r="A933" s="9"/>
    </row>
    <row r="934" spans="1:1" ht="12.5" x14ac:dyDescent="0.25">
      <c r="A934" s="9"/>
    </row>
    <row r="935" spans="1:1" ht="12.5" x14ac:dyDescent="0.25">
      <c r="A935" s="9"/>
    </row>
    <row r="936" spans="1:1" ht="12.5" x14ac:dyDescent="0.25">
      <c r="A936" s="9"/>
    </row>
    <row r="937" spans="1:1" ht="12.5" x14ac:dyDescent="0.25">
      <c r="A937" s="9"/>
    </row>
    <row r="938" spans="1:1" ht="12.5" x14ac:dyDescent="0.25">
      <c r="A938" s="9"/>
    </row>
    <row r="939" spans="1:1" ht="12.5" x14ac:dyDescent="0.25">
      <c r="A939" s="9"/>
    </row>
    <row r="940" spans="1:1" ht="12.5" x14ac:dyDescent="0.25">
      <c r="A940" s="9"/>
    </row>
    <row r="941" spans="1:1" ht="12.5" x14ac:dyDescent="0.25">
      <c r="A941" s="9"/>
    </row>
    <row r="942" spans="1:1" ht="12.5" x14ac:dyDescent="0.25">
      <c r="A942" s="9"/>
    </row>
    <row r="943" spans="1:1" ht="12.5" x14ac:dyDescent="0.25">
      <c r="A943" s="9"/>
    </row>
    <row r="944" spans="1:1" ht="12.5" x14ac:dyDescent="0.25">
      <c r="A944" s="9"/>
    </row>
    <row r="945" spans="1:1" ht="12.5" x14ac:dyDescent="0.25">
      <c r="A945" s="9"/>
    </row>
    <row r="946" spans="1:1" ht="12.5" x14ac:dyDescent="0.25">
      <c r="A946" s="9"/>
    </row>
    <row r="947" spans="1:1" ht="12.5" x14ac:dyDescent="0.25">
      <c r="A947" s="9"/>
    </row>
    <row r="948" spans="1:1" ht="12.5" x14ac:dyDescent="0.25">
      <c r="A948" s="9"/>
    </row>
    <row r="949" spans="1:1" ht="12.5" x14ac:dyDescent="0.25">
      <c r="A949" s="9"/>
    </row>
    <row r="950" spans="1:1" ht="12.5" x14ac:dyDescent="0.25">
      <c r="A950" s="9"/>
    </row>
    <row r="951" spans="1:1" ht="12.5" x14ac:dyDescent="0.25">
      <c r="A951" s="9"/>
    </row>
    <row r="952" spans="1:1" ht="12.5" x14ac:dyDescent="0.25">
      <c r="A952" s="9"/>
    </row>
    <row r="953" spans="1:1" ht="12.5" x14ac:dyDescent="0.25">
      <c r="A953" s="9"/>
    </row>
    <row r="954" spans="1:1" ht="12.5" x14ac:dyDescent="0.25">
      <c r="A954" s="9"/>
    </row>
    <row r="955" spans="1:1" ht="12.5" x14ac:dyDescent="0.25">
      <c r="A955" s="9"/>
    </row>
    <row r="956" spans="1:1" ht="12.5" x14ac:dyDescent="0.25">
      <c r="A956" s="9"/>
    </row>
    <row r="957" spans="1:1" ht="12.5" x14ac:dyDescent="0.25">
      <c r="A957" s="9"/>
    </row>
    <row r="958" spans="1:1" ht="12.5" x14ac:dyDescent="0.25">
      <c r="A958" s="9"/>
    </row>
    <row r="959" spans="1:1" ht="12.5" x14ac:dyDescent="0.25">
      <c r="A959" s="9"/>
    </row>
    <row r="960" spans="1:1" ht="12.5" x14ac:dyDescent="0.25">
      <c r="A960" s="9"/>
    </row>
    <row r="961" spans="1:1" ht="12.5" x14ac:dyDescent="0.25">
      <c r="A961" s="9"/>
    </row>
    <row r="962" spans="1:1" ht="12.5" x14ac:dyDescent="0.25">
      <c r="A962" s="9"/>
    </row>
    <row r="963" spans="1:1" ht="12.5" x14ac:dyDescent="0.25">
      <c r="A963" s="9"/>
    </row>
    <row r="964" spans="1:1" ht="12.5" x14ac:dyDescent="0.25">
      <c r="A964" s="9"/>
    </row>
    <row r="965" spans="1:1" ht="12.5" x14ac:dyDescent="0.25">
      <c r="A965" s="9"/>
    </row>
    <row r="966" spans="1:1" ht="12.5" x14ac:dyDescent="0.25">
      <c r="A966" s="9"/>
    </row>
    <row r="967" spans="1:1" ht="12.5" x14ac:dyDescent="0.25">
      <c r="A967" s="9"/>
    </row>
    <row r="968" spans="1:1" ht="12.5" x14ac:dyDescent="0.25">
      <c r="A968" s="9"/>
    </row>
    <row r="969" spans="1:1" ht="12.5" x14ac:dyDescent="0.25">
      <c r="A969" s="9"/>
    </row>
    <row r="970" spans="1:1" ht="12.5" x14ac:dyDescent="0.25">
      <c r="A970" s="9"/>
    </row>
    <row r="971" spans="1:1" ht="12.5" x14ac:dyDescent="0.25">
      <c r="A971" s="9"/>
    </row>
    <row r="972" spans="1:1" ht="12.5" x14ac:dyDescent="0.25">
      <c r="A972" s="9"/>
    </row>
    <row r="973" spans="1:1" ht="12.5" x14ac:dyDescent="0.25">
      <c r="A973" s="9"/>
    </row>
    <row r="974" spans="1:1" ht="12.5" x14ac:dyDescent="0.25">
      <c r="A974" s="9"/>
    </row>
    <row r="975" spans="1:1" ht="12.5" x14ac:dyDescent="0.25">
      <c r="A975" s="9"/>
    </row>
    <row r="976" spans="1:1" ht="12.5" x14ac:dyDescent="0.25">
      <c r="A976" s="9"/>
    </row>
    <row r="977" spans="1:1" ht="12.5" x14ac:dyDescent="0.25">
      <c r="A977" s="9"/>
    </row>
    <row r="978" spans="1:1" ht="12.5" x14ac:dyDescent="0.25">
      <c r="A978" s="9"/>
    </row>
    <row r="979" spans="1:1" ht="12.5" x14ac:dyDescent="0.25">
      <c r="A979" s="9"/>
    </row>
    <row r="980" spans="1:1" ht="12.5" x14ac:dyDescent="0.25">
      <c r="A980" s="9"/>
    </row>
    <row r="981" spans="1:1" ht="12.5" x14ac:dyDescent="0.25">
      <c r="A981" s="9"/>
    </row>
    <row r="982" spans="1:1" ht="12.5" x14ac:dyDescent="0.25">
      <c r="A982" s="9"/>
    </row>
    <row r="983" spans="1:1" ht="12.5" x14ac:dyDescent="0.25">
      <c r="A983" s="9"/>
    </row>
    <row r="984" spans="1:1" ht="12.5" x14ac:dyDescent="0.25">
      <c r="A984" s="9"/>
    </row>
    <row r="985" spans="1:1" ht="12.5" x14ac:dyDescent="0.25">
      <c r="A985" s="9"/>
    </row>
    <row r="986" spans="1:1" ht="12.5" x14ac:dyDescent="0.25">
      <c r="A986" s="9"/>
    </row>
    <row r="987" spans="1:1" ht="12.5" x14ac:dyDescent="0.25">
      <c r="A987" s="9"/>
    </row>
    <row r="988" spans="1:1" ht="12.5" x14ac:dyDescent="0.25">
      <c r="A988" s="9"/>
    </row>
    <row r="989" spans="1:1" ht="12.5" x14ac:dyDescent="0.25">
      <c r="A989" s="9"/>
    </row>
    <row r="990" spans="1:1" ht="12.5" x14ac:dyDescent="0.25">
      <c r="A990" s="9"/>
    </row>
    <row r="991" spans="1:1" ht="12.5" x14ac:dyDescent="0.25">
      <c r="A991" s="9"/>
    </row>
    <row r="992" spans="1:1" ht="12.5" x14ac:dyDescent="0.25">
      <c r="A992" s="9"/>
    </row>
    <row r="993" spans="1:1" ht="12.5" x14ac:dyDescent="0.25">
      <c r="A993" s="9"/>
    </row>
    <row r="994" spans="1:1" ht="12.5" x14ac:dyDescent="0.25">
      <c r="A994" s="9"/>
    </row>
    <row r="995" spans="1:1" ht="12.5" x14ac:dyDescent="0.25">
      <c r="A995" s="9"/>
    </row>
    <row r="996" spans="1:1" ht="12.5" x14ac:dyDescent="0.25">
      <c r="A996" s="9"/>
    </row>
  </sheetData>
  <hyperlinks>
    <hyperlink ref="A5" r:id="rId1" xr:uid="{00000000-0004-0000-0000-000000000000}"/>
    <hyperlink ref="A9" location="Checklist!A1" display="Démarrer la grille des salaires" xr:uid="{00000000-0004-0000-0000-000001000000}"/>
    <hyperlink ref="A23" location="Checklist!A1" display="Démarrer la personnalisation de l'outil" xr:uid="{00000000-0004-0000-0000-000002000000}"/>
    <hyperlink ref="A26" r:id="rId2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7"/>
  <sheetViews>
    <sheetView showGridLines="0" workbookViewId="0"/>
  </sheetViews>
  <sheetFormatPr baseColWidth="10" defaultColWidth="12.6328125" defaultRowHeight="15.75" customHeight="1" x14ac:dyDescent="0.25"/>
  <cols>
    <col min="1" max="1" width="111.26953125" customWidth="1"/>
  </cols>
  <sheetData>
    <row r="1" spans="1:26" ht="15.5" x14ac:dyDescent="0.35">
      <c r="A1" s="1"/>
    </row>
    <row r="2" spans="1:26" ht="15.5" x14ac:dyDescent="0.35">
      <c r="A2" s="1"/>
    </row>
    <row r="3" spans="1:26" ht="15.5" x14ac:dyDescent="0.35">
      <c r="A3" s="12"/>
    </row>
    <row r="4" spans="1:26" ht="15.5" x14ac:dyDescent="0.35">
      <c r="A4" s="2" t="s">
        <v>0</v>
      </c>
    </row>
    <row r="5" spans="1:26" ht="12.5" x14ac:dyDescent="0.25">
      <c r="A5" s="9"/>
    </row>
    <row r="6" spans="1:26" ht="15.5" x14ac:dyDescent="0.35">
      <c r="A6" s="13" t="s">
        <v>14</v>
      </c>
    </row>
    <row r="7" spans="1:26" ht="12.5" x14ac:dyDescent="0.25">
      <c r="A7" s="9"/>
    </row>
    <row r="8" spans="1:26" ht="12.5" x14ac:dyDescent="0.25">
      <c r="A8" s="9" t="s">
        <v>15</v>
      </c>
    </row>
    <row r="9" spans="1:26" ht="12.5" x14ac:dyDescent="0.25">
      <c r="A9" s="9"/>
    </row>
    <row r="10" spans="1:26" ht="21.75" customHeight="1" x14ac:dyDescent="0.25">
      <c r="A10" s="14" t="s">
        <v>16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1.75" customHeight="1" x14ac:dyDescent="0.25">
      <c r="A11" s="8" t="s">
        <v>17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1.75" customHeight="1" x14ac:dyDescent="0.25">
      <c r="A12" s="14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30" customHeight="1" x14ac:dyDescent="0.25">
      <c r="A13" s="8" t="s">
        <v>19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1.75" customHeight="1" x14ac:dyDescent="0.25">
      <c r="A14" s="8" t="s">
        <v>20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3.75" customHeight="1" x14ac:dyDescent="0.25">
      <c r="A15" s="16" t="s">
        <v>21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2.25" customHeight="1" x14ac:dyDescent="0.25">
      <c r="A16" s="8" t="s">
        <v>22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1.75" customHeight="1" x14ac:dyDescent="0.25">
      <c r="A17" s="14" t="s">
        <v>23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1.75" customHeight="1" x14ac:dyDescent="0.25">
      <c r="A18" s="14" t="s">
        <v>24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1.75" customHeight="1" x14ac:dyDescent="0.25">
      <c r="A19" s="14" t="s">
        <v>25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1.75" customHeight="1" x14ac:dyDescent="0.25">
      <c r="A20" s="8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2.25" customHeight="1" x14ac:dyDescent="0.25">
      <c r="A21" s="17" t="s">
        <v>26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1.75" customHeight="1" x14ac:dyDescent="0.25">
      <c r="A22" s="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1.75" customHeight="1" x14ac:dyDescent="0.25">
      <c r="A23" s="18" t="s">
        <v>27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5" x14ac:dyDescent="0.25">
      <c r="A24" s="9"/>
    </row>
    <row r="25" spans="1:26" ht="12.5" x14ac:dyDescent="0.25">
      <c r="A25" s="9"/>
    </row>
    <row r="26" spans="1:26" ht="12.5" x14ac:dyDescent="0.25">
      <c r="A26" s="9"/>
    </row>
    <row r="27" spans="1:26" ht="12.5" x14ac:dyDescent="0.25">
      <c r="A27" s="9"/>
    </row>
    <row r="28" spans="1:26" ht="12.5" x14ac:dyDescent="0.25">
      <c r="A28" s="9"/>
    </row>
    <row r="29" spans="1:26" ht="12.5" x14ac:dyDescent="0.25">
      <c r="A29" s="9"/>
    </row>
    <row r="30" spans="1:26" ht="12.5" x14ac:dyDescent="0.25">
      <c r="A30" s="9"/>
    </row>
    <row r="31" spans="1:26" ht="12.5" x14ac:dyDescent="0.25">
      <c r="A31" s="9"/>
    </row>
    <row r="32" spans="1:26" ht="12.5" x14ac:dyDescent="0.25">
      <c r="A32" s="9"/>
    </row>
    <row r="33" spans="1:1" ht="12.5" x14ac:dyDescent="0.25">
      <c r="A33" s="9"/>
    </row>
    <row r="34" spans="1:1" ht="12.5" x14ac:dyDescent="0.25">
      <c r="A34" s="9"/>
    </row>
    <row r="35" spans="1:1" ht="12.5" x14ac:dyDescent="0.25">
      <c r="A35" s="9"/>
    </row>
    <row r="36" spans="1:1" ht="12.5" x14ac:dyDescent="0.25">
      <c r="A36" s="9"/>
    </row>
    <row r="37" spans="1:1" ht="12.5" x14ac:dyDescent="0.25">
      <c r="A37" s="9"/>
    </row>
    <row r="38" spans="1:1" ht="12.5" x14ac:dyDescent="0.25">
      <c r="A38" s="9"/>
    </row>
    <row r="39" spans="1:1" ht="12.5" x14ac:dyDescent="0.25">
      <c r="A39" s="9"/>
    </row>
    <row r="40" spans="1:1" ht="12.5" x14ac:dyDescent="0.25">
      <c r="A40" s="9"/>
    </row>
    <row r="41" spans="1:1" ht="12.5" x14ac:dyDescent="0.25">
      <c r="A41" s="9"/>
    </row>
    <row r="42" spans="1:1" ht="12.5" x14ac:dyDescent="0.25">
      <c r="A42" s="9"/>
    </row>
    <row r="43" spans="1:1" ht="12.5" x14ac:dyDescent="0.25">
      <c r="A43" s="9"/>
    </row>
    <row r="44" spans="1:1" ht="12.5" x14ac:dyDescent="0.25">
      <c r="A44" s="9"/>
    </row>
    <row r="45" spans="1:1" ht="12.5" x14ac:dyDescent="0.25">
      <c r="A45" s="9"/>
    </row>
    <row r="46" spans="1:1" ht="12.5" x14ac:dyDescent="0.25">
      <c r="A46" s="9"/>
    </row>
    <row r="47" spans="1:1" ht="12.5" x14ac:dyDescent="0.25">
      <c r="A47" s="9"/>
    </row>
    <row r="48" spans="1:1" ht="12.5" x14ac:dyDescent="0.25">
      <c r="A48" s="9"/>
    </row>
    <row r="49" spans="1:1" ht="12.5" x14ac:dyDescent="0.25">
      <c r="A49" s="9"/>
    </row>
    <row r="50" spans="1:1" ht="12.5" x14ac:dyDescent="0.25">
      <c r="A50" s="9"/>
    </row>
    <row r="51" spans="1:1" ht="12.5" x14ac:dyDescent="0.25">
      <c r="A51" s="9"/>
    </row>
    <row r="52" spans="1:1" ht="12.5" x14ac:dyDescent="0.25">
      <c r="A52" s="9"/>
    </row>
    <row r="53" spans="1:1" ht="12.5" x14ac:dyDescent="0.25">
      <c r="A53" s="9"/>
    </row>
    <row r="54" spans="1:1" ht="12.5" x14ac:dyDescent="0.25">
      <c r="A54" s="9"/>
    </row>
    <row r="55" spans="1:1" ht="12.5" x14ac:dyDescent="0.25">
      <c r="A55" s="9"/>
    </row>
    <row r="56" spans="1:1" ht="12.5" x14ac:dyDescent="0.25">
      <c r="A56" s="9"/>
    </row>
    <row r="57" spans="1:1" ht="12.5" x14ac:dyDescent="0.25">
      <c r="A57" s="9"/>
    </row>
    <row r="58" spans="1:1" ht="12.5" x14ac:dyDescent="0.25">
      <c r="A58" s="9"/>
    </row>
    <row r="59" spans="1:1" ht="12.5" x14ac:dyDescent="0.25">
      <c r="A59" s="9"/>
    </row>
    <row r="60" spans="1:1" ht="12.5" x14ac:dyDescent="0.25">
      <c r="A60" s="9"/>
    </row>
    <row r="61" spans="1:1" ht="12.5" x14ac:dyDescent="0.25">
      <c r="A61" s="9"/>
    </row>
    <row r="62" spans="1:1" ht="12.5" x14ac:dyDescent="0.25">
      <c r="A62" s="9"/>
    </row>
    <row r="63" spans="1:1" ht="12.5" x14ac:dyDescent="0.25">
      <c r="A63" s="9"/>
    </row>
    <row r="64" spans="1:1" ht="12.5" x14ac:dyDescent="0.25">
      <c r="A64" s="9"/>
    </row>
    <row r="65" spans="1:1" ht="12.5" x14ac:dyDescent="0.25">
      <c r="A65" s="9"/>
    </row>
    <row r="66" spans="1:1" ht="12.5" x14ac:dyDescent="0.25">
      <c r="A66" s="9"/>
    </row>
    <row r="67" spans="1:1" ht="12.5" x14ac:dyDescent="0.25">
      <c r="A67" s="9"/>
    </row>
    <row r="68" spans="1:1" ht="12.5" x14ac:dyDescent="0.25">
      <c r="A68" s="9"/>
    </row>
    <row r="69" spans="1:1" ht="12.5" x14ac:dyDescent="0.25">
      <c r="A69" s="9"/>
    </row>
    <row r="70" spans="1:1" ht="12.5" x14ac:dyDescent="0.25">
      <c r="A70" s="9"/>
    </row>
    <row r="71" spans="1:1" ht="12.5" x14ac:dyDescent="0.25">
      <c r="A71" s="9"/>
    </row>
    <row r="72" spans="1:1" ht="12.5" x14ac:dyDescent="0.25">
      <c r="A72" s="9"/>
    </row>
    <row r="73" spans="1:1" ht="12.5" x14ac:dyDescent="0.25">
      <c r="A73" s="9"/>
    </row>
    <row r="74" spans="1:1" ht="12.5" x14ac:dyDescent="0.25">
      <c r="A74" s="9"/>
    </row>
    <row r="75" spans="1:1" ht="12.5" x14ac:dyDescent="0.25">
      <c r="A75" s="9"/>
    </row>
    <row r="76" spans="1:1" ht="12.5" x14ac:dyDescent="0.25">
      <c r="A76" s="9"/>
    </row>
    <row r="77" spans="1:1" ht="12.5" x14ac:dyDescent="0.25">
      <c r="A77" s="9"/>
    </row>
    <row r="78" spans="1:1" ht="12.5" x14ac:dyDescent="0.25">
      <c r="A78" s="9"/>
    </row>
    <row r="79" spans="1:1" ht="12.5" x14ac:dyDescent="0.25">
      <c r="A79" s="9"/>
    </row>
    <row r="80" spans="1:1" ht="12.5" x14ac:dyDescent="0.25">
      <c r="A80" s="9"/>
    </row>
    <row r="81" spans="1:1" ht="12.5" x14ac:dyDescent="0.25">
      <c r="A81" s="9"/>
    </row>
    <row r="82" spans="1:1" ht="12.5" x14ac:dyDescent="0.25">
      <c r="A82" s="9"/>
    </row>
    <row r="83" spans="1:1" ht="12.5" x14ac:dyDescent="0.25">
      <c r="A83" s="9"/>
    </row>
    <row r="84" spans="1:1" ht="12.5" x14ac:dyDescent="0.25">
      <c r="A84" s="9"/>
    </row>
    <row r="85" spans="1:1" ht="12.5" x14ac:dyDescent="0.25">
      <c r="A85" s="9"/>
    </row>
    <row r="86" spans="1:1" ht="12.5" x14ac:dyDescent="0.25">
      <c r="A86" s="9"/>
    </row>
    <row r="87" spans="1:1" ht="12.5" x14ac:dyDescent="0.25">
      <c r="A87" s="9"/>
    </row>
    <row r="88" spans="1:1" ht="12.5" x14ac:dyDescent="0.25">
      <c r="A88" s="9"/>
    </row>
    <row r="89" spans="1:1" ht="12.5" x14ac:dyDescent="0.25">
      <c r="A89" s="9"/>
    </row>
    <row r="90" spans="1:1" ht="12.5" x14ac:dyDescent="0.25">
      <c r="A90" s="9"/>
    </row>
    <row r="91" spans="1:1" ht="12.5" x14ac:dyDescent="0.25">
      <c r="A91" s="9"/>
    </row>
    <row r="92" spans="1:1" ht="12.5" x14ac:dyDescent="0.25">
      <c r="A92" s="9"/>
    </row>
    <row r="93" spans="1:1" ht="12.5" x14ac:dyDescent="0.25">
      <c r="A93" s="9"/>
    </row>
    <row r="94" spans="1:1" ht="12.5" x14ac:dyDescent="0.25">
      <c r="A94" s="9"/>
    </row>
    <row r="95" spans="1:1" ht="12.5" x14ac:dyDescent="0.25">
      <c r="A95" s="9"/>
    </row>
    <row r="96" spans="1:1" ht="12.5" x14ac:dyDescent="0.25">
      <c r="A96" s="9"/>
    </row>
    <row r="97" spans="1:1" ht="12.5" x14ac:dyDescent="0.25">
      <c r="A97" s="9"/>
    </row>
    <row r="98" spans="1:1" ht="12.5" x14ac:dyDescent="0.25">
      <c r="A98" s="9"/>
    </row>
    <row r="99" spans="1:1" ht="12.5" x14ac:dyDescent="0.25">
      <c r="A99" s="9"/>
    </row>
    <row r="100" spans="1:1" ht="12.5" x14ac:dyDescent="0.25">
      <c r="A100" s="9"/>
    </row>
    <row r="101" spans="1:1" ht="12.5" x14ac:dyDescent="0.25">
      <c r="A101" s="9"/>
    </row>
    <row r="102" spans="1:1" ht="12.5" x14ac:dyDescent="0.25">
      <c r="A102" s="9"/>
    </row>
    <row r="103" spans="1:1" ht="12.5" x14ac:dyDescent="0.25">
      <c r="A103" s="9"/>
    </row>
    <row r="104" spans="1:1" ht="12.5" x14ac:dyDescent="0.25">
      <c r="A104" s="9"/>
    </row>
    <row r="105" spans="1:1" ht="12.5" x14ac:dyDescent="0.25">
      <c r="A105" s="9"/>
    </row>
    <row r="106" spans="1:1" ht="12.5" x14ac:dyDescent="0.25">
      <c r="A106" s="9"/>
    </row>
    <row r="107" spans="1:1" ht="12.5" x14ac:dyDescent="0.25">
      <c r="A107" s="9"/>
    </row>
    <row r="108" spans="1:1" ht="12.5" x14ac:dyDescent="0.25">
      <c r="A108" s="9"/>
    </row>
    <row r="109" spans="1:1" ht="12.5" x14ac:dyDescent="0.25">
      <c r="A109" s="9"/>
    </row>
    <row r="110" spans="1:1" ht="12.5" x14ac:dyDescent="0.25">
      <c r="A110" s="9"/>
    </row>
    <row r="111" spans="1:1" ht="12.5" x14ac:dyDescent="0.25">
      <c r="A111" s="9"/>
    </row>
    <row r="112" spans="1:1" ht="12.5" x14ac:dyDescent="0.25">
      <c r="A112" s="9"/>
    </row>
    <row r="113" spans="1:1" ht="12.5" x14ac:dyDescent="0.25">
      <c r="A113" s="9"/>
    </row>
    <row r="114" spans="1:1" ht="12.5" x14ac:dyDescent="0.25">
      <c r="A114" s="9"/>
    </row>
    <row r="115" spans="1:1" ht="12.5" x14ac:dyDescent="0.25">
      <c r="A115" s="9"/>
    </row>
    <row r="116" spans="1:1" ht="12.5" x14ac:dyDescent="0.25">
      <c r="A116" s="9"/>
    </row>
    <row r="117" spans="1:1" ht="12.5" x14ac:dyDescent="0.25">
      <c r="A117" s="9"/>
    </row>
    <row r="118" spans="1:1" ht="12.5" x14ac:dyDescent="0.25">
      <c r="A118" s="9"/>
    </row>
    <row r="119" spans="1:1" ht="12.5" x14ac:dyDescent="0.25">
      <c r="A119" s="9"/>
    </row>
    <row r="120" spans="1:1" ht="12.5" x14ac:dyDescent="0.25">
      <c r="A120" s="9"/>
    </row>
    <row r="121" spans="1:1" ht="12.5" x14ac:dyDescent="0.25">
      <c r="A121" s="9"/>
    </row>
    <row r="122" spans="1:1" ht="12.5" x14ac:dyDescent="0.25">
      <c r="A122" s="9"/>
    </row>
    <row r="123" spans="1:1" ht="12.5" x14ac:dyDescent="0.25">
      <c r="A123" s="9"/>
    </row>
    <row r="124" spans="1:1" ht="12.5" x14ac:dyDescent="0.25">
      <c r="A124" s="9"/>
    </row>
    <row r="125" spans="1:1" ht="12.5" x14ac:dyDescent="0.25">
      <c r="A125" s="9"/>
    </row>
    <row r="126" spans="1:1" ht="12.5" x14ac:dyDescent="0.25">
      <c r="A126" s="9"/>
    </row>
    <row r="127" spans="1:1" ht="12.5" x14ac:dyDescent="0.25">
      <c r="A127" s="9"/>
    </row>
    <row r="128" spans="1:1" ht="12.5" x14ac:dyDescent="0.25">
      <c r="A128" s="9"/>
    </row>
    <row r="129" spans="1:1" ht="12.5" x14ac:dyDescent="0.25">
      <c r="A129" s="9"/>
    </row>
    <row r="130" spans="1:1" ht="12.5" x14ac:dyDescent="0.25">
      <c r="A130" s="9"/>
    </row>
    <row r="131" spans="1:1" ht="12.5" x14ac:dyDescent="0.25">
      <c r="A131" s="9"/>
    </row>
    <row r="132" spans="1:1" ht="12.5" x14ac:dyDescent="0.25">
      <c r="A132" s="9"/>
    </row>
    <row r="133" spans="1:1" ht="12.5" x14ac:dyDescent="0.25">
      <c r="A133" s="9"/>
    </row>
    <row r="134" spans="1:1" ht="12.5" x14ac:dyDescent="0.25">
      <c r="A134" s="9"/>
    </row>
    <row r="135" spans="1:1" ht="12.5" x14ac:dyDescent="0.25">
      <c r="A135" s="9"/>
    </row>
    <row r="136" spans="1:1" ht="12.5" x14ac:dyDescent="0.25">
      <c r="A136" s="9"/>
    </row>
    <row r="137" spans="1:1" ht="12.5" x14ac:dyDescent="0.25">
      <c r="A137" s="9"/>
    </row>
    <row r="138" spans="1:1" ht="12.5" x14ac:dyDescent="0.25">
      <c r="A138" s="9"/>
    </row>
    <row r="139" spans="1:1" ht="12.5" x14ac:dyDescent="0.25">
      <c r="A139" s="9"/>
    </row>
    <row r="140" spans="1:1" ht="12.5" x14ac:dyDescent="0.25">
      <c r="A140" s="9"/>
    </row>
    <row r="141" spans="1:1" ht="12.5" x14ac:dyDescent="0.25">
      <c r="A141" s="9"/>
    </row>
    <row r="142" spans="1:1" ht="12.5" x14ac:dyDescent="0.25">
      <c r="A142" s="9"/>
    </row>
    <row r="143" spans="1:1" ht="12.5" x14ac:dyDescent="0.25">
      <c r="A143" s="9"/>
    </row>
    <row r="144" spans="1:1" ht="12.5" x14ac:dyDescent="0.25">
      <c r="A144" s="9"/>
    </row>
    <row r="145" spans="1:1" ht="12.5" x14ac:dyDescent="0.25">
      <c r="A145" s="9"/>
    </row>
    <row r="146" spans="1:1" ht="12.5" x14ac:dyDescent="0.25">
      <c r="A146" s="9"/>
    </row>
    <row r="147" spans="1:1" ht="12.5" x14ac:dyDescent="0.25">
      <c r="A147" s="9"/>
    </row>
    <row r="148" spans="1:1" ht="12.5" x14ac:dyDescent="0.25">
      <c r="A148" s="9"/>
    </row>
    <row r="149" spans="1:1" ht="12.5" x14ac:dyDescent="0.25">
      <c r="A149" s="9"/>
    </row>
    <row r="150" spans="1:1" ht="12.5" x14ac:dyDescent="0.25">
      <c r="A150" s="9"/>
    </row>
    <row r="151" spans="1:1" ht="12.5" x14ac:dyDescent="0.25">
      <c r="A151" s="9"/>
    </row>
    <row r="152" spans="1:1" ht="12.5" x14ac:dyDescent="0.25">
      <c r="A152" s="9"/>
    </row>
    <row r="153" spans="1:1" ht="12.5" x14ac:dyDescent="0.25">
      <c r="A153" s="9"/>
    </row>
    <row r="154" spans="1:1" ht="12.5" x14ac:dyDescent="0.25">
      <c r="A154" s="9"/>
    </row>
    <row r="155" spans="1:1" ht="12.5" x14ac:dyDescent="0.25">
      <c r="A155" s="9"/>
    </row>
    <row r="156" spans="1:1" ht="12.5" x14ac:dyDescent="0.25">
      <c r="A156" s="9"/>
    </row>
    <row r="157" spans="1:1" ht="12.5" x14ac:dyDescent="0.25">
      <c r="A157" s="9"/>
    </row>
    <row r="158" spans="1:1" ht="12.5" x14ac:dyDescent="0.25">
      <c r="A158" s="9"/>
    </row>
    <row r="159" spans="1:1" ht="12.5" x14ac:dyDescent="0.25">
      <c r="A159" s="9"/>
    </row>
    <row r="160" spans="1:1" ht="12.5" x14ac:dyDescent="0.25">
      <c r="A160" s="9"/>
    </row>
    <row r="161" spans="1:1" ht="12.5" x14ac:dyDescent="0.25">
      <c r="A161" s="9"/>
    </row>
    <row r="162" spans="1:1" ht="12.5" x14ac:dyDescent="0.25">
      <c r="A162" s="9"/>
    </row>
    <row r="163" spans="1:1" ht="12.5" x14ac:dyDescent="0.25">
      <c r="A163" s="9"/>
    </row>
    <row r="164" spans="1:1" ht="12.5" x14ac:dyDescent="0.25">
      <c r="A164" s="9"/>
    </row>
    <row r="165" spans="1:1" ht="12.5" x14ac:dyDescent="0.25">
      <c r="A165" s="9"/>
    </row>
    <row r="166" spans="1:1" ht="12.5" x14ac:dyDescent="0.25">
      <c r="A166" s="9"/>
    </row>
    <row r="167" spans="1:1" ht="12.5" x14ac:dyDescent="0.25">
      <c r="A167" s="9"/>
    </row>
    <row r="168" spans="1:1" ht="12.5" x14ac:dyDescent="0.25">
      <c r="A168" s="9"/>
    </row>
    <row r="169" spans="1:1" ht="12.5" x14ac:dyDescent="0.25">
      <c r="A169" s="9"/>
    </row>
    <row r="170" spans="1:1" ht="12.5" x14ac:dyDescent="0.25">
      <c r="A170" s="9"/>
    </row>
    <row r="171" spans="1:1" ht="12.5" x14ac:dyDescent="0.25">
      <c r="A171" s="9"/>
    </row>
    <row r="172" spans="1:1" ht="12.5" x14ac:dyDescent="0.25">
      <c r="A172" s="9"/>
    </row>
    <row r="173" spans="1:1" ht="12.5" x14ac:dyDescent="0.25">
      <c r="A173" s="9"/>
    </row>
    <row r="174" spans="1:1" ht="12.5" x14ac:dyDescent="0.25">
      <c r="A174" s="9"/>
    </row>
    <row r="175" spans="1:1" ht="12.5" x14ac:dyDescent="0.25">
      <c r="A175" s="9"/>
    </row>
    <row r="176" spans="1:1" ht="12.5" x14ac:dyDescent="0.25">
      <c r="A176" s="9"/>
    </row>
    <row r="177" spans="1:1" ht="12.5" x14ac:dyDescent="0.25">
      <c r="A177" s="9"/>
    </row>
    <row r="178" spans="1:1" ht="12.5" x14ac:dyDescent="0.25">
      <c r="A178" s="9"/>
    </row>
    <row r="179" spans="1:1" ht="12.5" x14ac:dyDescent="0.25">
      <c r="A179" s="9"/>
    </row>
    <row r="180" spans="1:1" ht="12.5" x14ac:dyDescent="0.25">
      <c r="A180" s="9"/>
    </row>
    <row r="181" spans="1:1" ht="12.5" x14ac:dyDescent="0.25">
      <c r="A181" s="9"/>
    </row>
    <row r="182" spans="1:1" ht="12.5" x14ac:dyDescent="0.25">
      <c r="A182" s="9"/>
    </row>
    <row r="183" spans="1:1" ht="12.5" x14ac:dyDescent="0.25">
      <c r="A183" s="9"/>
    </row>
    <row r="184" spans="1:1" ht="12.5" x14ac:dyDescent="0.25">
      <c r="A184" s="9"/>
    </row>
    <row r="185" spans="1:1" ht="12.5" x14ac:dyDescent="0.25">
      <c r="A185" s="9"/>
    </row>
    <row r="186" spans="1:1" ht="12.5" x14ac:dyDescent="0.25">
      <c r="A186" s="9"/>
    </row>
    <row r="187" spans="1:1" ht="12.5" x14ac:dyDescent="0.25">
      <c r="A187" s="9"/>
    </row>
    <row r="188" spans="1:1" ht="12.5" x14ac:dyDescent="0.25">
      <c r="A188" s="9"/>
    </row>
    <row r="189" spans="1:1" ht="12.5" x14ac:dyDescent="0.25">
      <c r="A189" s="9"/>
    </row>
    <row r="190" spans="1:1" ht="12.5" x14ac:dyDescent="0.25">
      <c r="A190" s="9"/>
    </row>
    <row r="191" spans="1:1" ht="12.5" x14ac:dyDescent="0.25">
      <c r="A191" s="9"/>
    </row>
    <row r="192" spans="1:1" ht="12.5" x14ac:dyDescent="0.25">
      <c r="A192" s="9"/>
    </row>
    <row r="193" spans="1:1" ht="12.5" x14ac:dyDescent="0.25">
      <c r="A193" s="9"/>
    </row>
    <row r="194" spans="1:1" ht="12.5" x14ac:dyDescent="0.25">
      <c r="A194" s="9"/>
    </row>
    <row r="195" spans="1:1" ht="12.5" x14ac:dyDescent="0.25">
      <c r="A195" s="9"/>
    </row>
    <row r="196" spans="1:1" ht="12.5" x14ac:dyDescent="0.25">
      <c r="A196" s="9"/>
    </row>
    <row r="197" spans="1:1" ht="12.5" x14ac:dyDescent="0.25">
      <c r="A197" s="9"/>
    </row>
    <row r="198" spans="1:1" ht="12.5" x14ac:dyDescent="0.25">
      <c r="A198" s="9"/>
    </row>
    <row r="199" spans="1:1" ht="12.5" x14ac:dyDescent="0.25">
      <c r="A199" s="9"/>
    </row>
    <row r="200" spans="1:1" ht="12.5" x14ac:dyDescent="0.25">
      <c r="A200" s="9"/>
    </row>
    <row r="201" spans="1:1" ht="12.5" x14ac:dyDescent="0.25">
      <c r="A201" s="9"/>
    </row>
    <row r="202" spans="1:1" ht="12.5" x14ac:dyDescent="0.25">
      <c r="A202" s="9"/>
    </row>
    <row r="203" spans="1:1" ht="12.5" x14ac:dyDescent="0.25">
      <c r="A203" s="9"/>
    </row>
    <row r="204" spans="1:1" ht="12.5" x14ac:dyDescent="0.25">
      <c r="A204" s="9"/>
    </row>
    <row r="205" spans="1:1" ht="12.5" x14ac:dyDescent="0.25">
      <c r="A205" s="9"/>
    </row>
    <row r="206" spans="1:1" ht="12.5" x14ac:dyDescent="0.25">
      <c r="A206" s="9"/>
    </row>
    <row r="207" spans="1:1" ht="12.5" x14ac:dyDescent="0.25">
      <c r="A207" s="9"/>
    </row>
    <row r="208" spans="1:1" ht="12.5" x14ac:dyDescent="0.25">
      <c r="A208" s="9"/>
    </row>
    <row r="209" spans="1:1" ht="12.5" x14ac:dyDescent="0.25">
      <c r="A209" s="9"/>
    </row>
    <row r="210" spans="1:1" ht="12.5" x14ac:dyDescent="0.25">
      <c r="A210" s="9"/>
    </row>
    <row r="211" spans="1:1" ht="12.5" x14ac:dyDescent="0.25">
      <c r="A211" s="9"/>
    </row>
    <row r="212" spans="1:1" ht="12.5" x14ac:dyDescent="0.25">
      <c r="A212" s="9"/>
    </row>
    <row r="213" spans="1:1" ht="12.5" x14ac:dyDescent="0.25">
      <c r="A213" s="9"/>
    </row>
    <row r="214" spans="1:1" ht="12.5" x14ac:dyDescent="0.25">
      <c r="A214" s="9"/>
    </row>
    <row r="215" spans="1:1" ht="12.5" x14ac:dyDescent="0.25">
      <c r="A215" s="9"/>
    </row>
    <row r="216" spans="1:1" ht="12.5" x14ac:dyDescent="0.25">
      <c r="A216" s="9"/>
    </row>
    <row r="217" spans="1:1" ht="12.5" x14ac:dyDescent="0.25">
      <c r="A217" s="9"/>
    </row>
    <row r="218" spans="1:1" ht="12.5" x14ac:dyDescent="0.25">
      <c r="A218" s="9"/>
    </row>
    <row r="219" spans="1:1" ht="12.5" x14ac:dyDescent="0.25">
      <c r="A219" s="9"/>
    </row>
    <row r="220" spans="1:1" ht="12.5" x14ac:dyDescent="0.25">
      <c r="A220" s="9"/>
    </row>
    <row r="221" spans="1:1" ht="12.5" x14ac:dyDescent="0.25">
      <c r="A221" s="9"/>
    </row>
    <row r="222" spans="1:1" ht="12.5" x14ac:dyDescent="0.25">
      <c r="A222" s="9"/>
    </row>
    <row r="223" spans="1:1" ht="12.5" x14ac:dyDescent="0.25">
      <c r="A223" s="9"/>
    </row>
    <row r="224" spans="1:1" ht="12.5" x14ac:dyDescent="0.25">
      <c r="A224" s="9"/>
    </row>
    <row r="225" spans="1:1" ht="12.5" x14ac:dyDescent="0.25">
      <c r="A225" s="9"/>
    </row>
    <row r="226" spans="1:1" ht="12.5" x14ac:dyDescent="0.25">
      <c r="A226" s="9"/>
    </row>
    <row r="227" spans="1:1" ht="12.5" x14ac:dyDescent="0.25">
      <c r="A227" s="9"/>
    </row>
    <row r="228" spans="1:1" ht="12.5" x14ac:dyDescent="0.25">
      <c r="A228" s="9"/>
    </row>
    <row r="229" spans="1:1" ht="12.5" x14ac:dyDescent="0.25">
      <c r="A229" s="9"/>
    </row>
    <row r="230" spans="1:1" ht="12.5" x14ac:dyDescent="0.25">
      <c r="A230" s="9"/>
    </row>
    <row r="231" spans="1:1" ht="12.5" x14ac:dyDescent="0.25">
      <c r="A231" s="9"/>
    </row>
    <row r="232" spans="1:1" ht="12.5" x14ac:dyDescent="0.25">
      <c r="A232" s="9"/>
    </row>
    <row r="233" spans="1:1" ht="12.5" x14ac:dyDescent="0.25">
      <c r="A233" s="9"/>
    </row>
    <row r="234" spans="1:1" ht="12.5" x14ac:dyDescent="0.25">
      <c r="A234" s="9"/>
    </row>
    <row r="235" spans="1:1" ht="12.5" x14ac:dyDescent="0.25">
      <c r="A235" s="9"/>
    </row>
    <row r="236" spans="1:1" ht="12.5" x14ac:dyDescent="0.25">
      <c r="A236" s="9"/>
    </row>
    <row r="237" spans="1:1" ht="12.5" x14ac:dyDescent="0.25">
      <c r="A237" s="9"/>
    </row>
    <row r="238" spans="1:1" ht="12.5" x14ac:dyDescent="0.25">
      <c r="A238" s="9"/>
    </row>
    <row r="239" spans="1:1" ht="12.5" x14ac:dyDescent="0.25">
      <c r="A239" s="9"/>
    </row>
    <row r="240" spans="1:1" ht="12.5" x14ac:dyDescent="0.25">
      <c r="A240" s="9"/>
    </row>
    <row r="241" spans="1:1" ht="12.5" x14ac:dyDescent="0.25">
      <c r="A241" s="9"/>
    </row>
    <row r="242" spans="1:1" ht="12.5" x14ac:dyDescent="0.25">
      <c r="A242" s="9"/>
    </row>
    <row r="243" spans="1:1" ht="12.5" x14ac:dyDescent="0.25">
      <c r="A243" s="9"/>
    </row>
    <row r="244" spans="1:1" ht="12.5" x14ac:dyDescent="0.25">
      <c r="A244" s="9"/>
    </row>
    <row r="245" spans="1:1" ht="12.5" x14ac:dyDescent="0.25">
      <c r="A245" s="9"/>
    </row>
    <row r="246" spans="1:1" ht="12.5" x14ac:dyDescent="0.25">
      <c r="A246" s="9"/>
    </row>
    <row r="247" spans="1:1" ht="12.5" x14ac:dyDescent="0.25">
      <c r="A247" s="9"/>
    </row>
    <row r="248" spans="1:1" ht="12.5" x14ac:dyDescent="0.25">
      <c r="A248" s="9"/>
    </row>
    <row r="249" spans="1:1" ht="12.5" x14ac:dyDescent="0.25">
      <c r="A249" s="9"/>
    </row>
    <row r="250" spans="1:1" ht="12.5" x14ac:dyDescent="0.25">
      <c r="A250" s="9"/>
    </row>
    <row r="251" spans="1:1" ht="12.5" x14ac:dyDescent="0.25">
      <c r="A251" s="9"/>
    </row>
    <row r="252" spans="1:1" ht="12.5" x14ac:dyDescent="0.25">
      <c r="A252" s="9"/>
    </row>
    <row r="253" spans="1:1" ht="12.5" x14ac:dyDescent="0.25">
      <c r="A253" s="9"/>
    </row>
    <row r="254" spans="1:1" ht="12.5" x14ac:dyDescent="0.25">
      <c r="A254" s="9"/>
    </row>
    <row r="255" spans="1:1" ht="12.5" x14ac:dyDescent="0.25">
      <c r="A255" s="9"/>
    </row>
    <row r="256" spans="1:1" ht="12.5" x14ac:dyDescent="0.25">
      <c r="A256" s="9"/>
    </row>
    <row r="257" spans="1:1" ht="12.5" x14ac:dyDescent="0.25">
      <c r="A257" s="9"/>
    </row>
    <row r="258" spans="1:1" ht="12.5" x14ac:dyDescent="0.25">
      <c r="A258" s="9"/>
    </row>
    <row r="259" spans="1:1" ht="12.5" x14ac:dyDescent="0.25">
      <c r="A259" s="9"/>
    </row>
    <row r="260" spans="1:1" ht="12.5" x14ac:dyDescent="0.25">
      <c r="A260" s="9"/>
    </row>
    <row r="261" spans="1:1" ht="12.5" x14ac:dyDescent="0.25">
      <c r="A261" s="9"/>
    </row>
    <row r="262" spans="1:1" ht="12.5" x14ac:dyDescent="0.25">
      <c r="A262" s="9"/>
    </row>
    <row r="263" spans="1:1" ht="12.5" x14ac:dyDescent="0.25">
      <c r="A263" s="9"/>
    </row>
    <row r="264" spans="1:1" ht="12.5" x14ac:dyDescent="0.25">
      <c r="A264" s="9"/>
    </row>
    <row r="265" spans="1:1" ht="12.5" x14ac:dyDescent="0.25">
      <c r="A265" s="9"/>
    </row>
    <row r="266" spans="1:1" ht="12.5" x14ac:dyDescent="0.25">
      <c r="A266" s="9"/>
    </row>
    <row r="267" spans="1:1" ht="12.5" x14ac:dyDescent="0.25">
      <c r="A267" s="9"/>
    </row>
    <row r="268" spans="1:1" ht="12.5" x14ac:dyDescent="0.25">
      <c r="A268" s="9"/>
    </row>
    <row r="269" spans="1:1" ht="12.5" x14ac:dyDescent="0.25">
      <c r="A269" s="9"/>
    </row>
    <row r="270" spans="1:1" ht="12.5" x14ac:dyDescent="0.25">
      <c r="A270" s="9"/>
    </row>
    <row r="271" spans="1:1" ht="12.5" x14ac:dyDescent="0.25">
      <c r="A271" s="9"/>
    </row>
    <row r="272" spans="1:1" ht="12.5" x14ac:dyDescent="0.25">
      <c r="A272" s="9"/>
    </row>
    <row r="273" spans="1:1" ht="12.5" x14ac:dyDescent="0.25">
      <c r="A273" s="9"/>
    </row>
    <row r="274" spans="1:1" ht="12.5" x14ac:dyDescent="0.25">
      <c r="A274" s="9"/>
    </row>
    <row r="275" spans="1:1" ht="12.5" x14ac:dyDescent="0.25">
      <c r="A275" s="9"/>
    </row>
    <row r="276" spans="1:1" ht="12.5" x14ac:dyDescent="0.25">
      <c r="A276" s="9"/>
    </row>
    <row r="277" spans="1:1" ht="12.5" x14ac:dyDescent="0.25">
      <c r="A277" s="9"/>
    </row>
    <row r="278" spans="1:1" ht="12.5" x14ac:dyDescent="0.25">
      <c r="A278" s="9"/>
    </row>
    <row r="279" spans="1:1" ht="12.5" x14ac:dyDescent="0.25">
      <c r="A279" s="9"/>
    </row>
    <row r="280" spans="1:1" ht="12.5" x14ac:dyDescent="0.25">
      <c r="A280" s="9"/>
    </row>
    <row r="281" spans="1:1" ht="12.5" x14ac:dyDescent="0.25">
      <c r="A281" s="9"/>
    </row>
    <row r="282" spans="1:1" ht="12.5" x14ac:dyDescent="0.25">
      <c r="A282" s="9"/>
    </row>
    <row r="283" spans="1:1" ht="12.5" x14ac:dyDescent="0.25">
      <c r="A283" s="9"/>
    </row>
    <row r="284" spans="1:1" ht="12.5" x14ac:dyDescent="0.25">
      <c r="A284" s="9"/>
    </row>
    <row r="285" spans="1:1" ht="12.5" x14ac:dyDescent="0.25">
      <c r="A285" s="9"/>
    </row>
    <row r="286" spans="1:1" ht="12.5" x14ac:dyDescent="0.25">
      <c r="A286" s="9"/>
    </row>
    <row r="287" spans="1:1" ht="12.5" x14ac:dyDescent="0.25">
      <c r="A287" s="9"/>
    </row>
    <row r="288" spans="1:1" ht="12.5" x14ac:dyDescent="0.25">
      <c r="A288" s="9"/>
    </row>
    <row r="289" spans="1:1" ht="12.5" x14ac:dyDescent="0.25">
      <c r="A289" s="9"/>
    </row>
    <row r="290" spans="1:1" ht="12.5" x14ac:dyDescent="0.25">
      <c r="A290" s="9"/>
    </row>
    <row r="291" spans="1:1" ht="12.5" x14ac:dyDescent="0.25">
      <c r="A291" s="9"/>
    </row>
    <row r="292" spans="1:1" ht="12.5" x14ac:dyDescent="0.25">
      <c r="A292" s="9"/>
    </row>
    <row r="293" spans="1:1" ht="12.5" x14ac:dyDescent="0.25">
      <c r="A293" s="9"/>
    </row>
    <row r="294" spans="1:1" ht="12.5" x14ac:dyDescent="0.25">
      <c r="A294" s="9"/>
    </row>
    <row r="295" spans="1:1" ht="12.5" x14ac:dyDescent="0.25">
      <c r="A295" s="9"/>
    </row>
    <row r="296" spans="1:1" ht="12.5" x14ac:dyDescent="0.25">
      <c r="A296" s="9"/>
    </row>
    <row r="297" spans="1:1" ht="12.5" x14ac:dyDescent="0.25">
      <c r="A297" s="9"/>
    </row>
    <row r="298" spans="1:1" ht="12.5" x14ac:dyDescent="0.25">
      <c r="A298" s="9"/>
    </row>
    <row r="299" spans="1:1" ht="12.5" x14ac:dyDescent="0.25">
      <c r="A299" s="9"/>
    </row>
    <row r="300" spans="1:1" ht="12.5" x14ac:dyDescent="0.25">
      <c r="A300" s="9"/>
    </row>
    <row r="301" spans="1:1" ht="12.5" x14ac:dyDescent="0.25">
      <c r="A301" s="9"/>
    </row>
    <row r="302" spans="1:1" ht="12.5" x14ac:dyDescent="0.25">
      <c r="A302" s="9"/>
    </row>
    <row r="303" spans="1:1" ht="12.5" x14ac:dyDescent="0.25">
      <c r="A303" s="9"/>
    </row>
    <row r="304" spans="1:1" ht="12.5" x14ac:dyDescent="0.25">
      <c r="A304" s="9"/>
    </row>
    <row r="305" spans="1:1" ht="12.5" x14ac:dyDescent="0.25">
      <c r="A305" s="9"/>
    </row>
    <row r="306" spans="1:1" ht="12.5" x14ac:dyDescent="0.25">
      <c r="A306" s="9"/>
    </row>
    <row r="307" spans="1:1" ht="12.5" x14ac:dyDescent="0.25">
      <c r="A307" s="9"/>
    </row>
    <row r="308" spans="1:1" ht="12.5" x14ac:dyDescent="0.25">
      <c r="A308" s="9"/>
    </row>
    <row r="309" spans="1:1" ht="12.5" x14ac:dyDescent="0.25">
      <c r="A309" s="9"/>
    </row>
    <row r="310" spans="1:1" ht="12.5" x14ac:dyDescent="0.25">
      <c r="A310" s="9"/>
    </row>
    <row r="311" spans="1:1" ht="12.5" x14ac:dyDescent="0.25">
      <c r="A311" s="9"/>
    </row>
    <row r="312" spans="1:1" ht="12.5" x14ac:dyDescent="0.25">
      <c r="A312" s="9"/>
    </row>
    <row r="313" spans="1:1" ht="12.5" x14ac:dyDescent="0.25">
      <c r="A313" s="9"/>
    </row>
    <row r="314" spans="1:1" ht="12.5" x14ac:dyDescent="0.25">
      <c r="A314" s="9"/>
    </row>
    <row r="315" spans="1:1" ht="12.5" x14ac:dyDescent="0.25">
      <c r="A315" s="9"/>
    </row>
    <row r="316" spans="1:1" ht="12.5" x14ac:dyDescent="0.25">
      <c r="A316" s="9"/>
    </row>
    <row r="317" spans="1:1" ht="12.5" x14ac:dyDescent="0.25">
      <c r="A317" s="9"/>
    </row>
    <row r="318" spans="1:1" ht="12.5" x14ac:dyDescent="0.25">
      <c r="A318" s="9"/>
    </row>
    <row r="319" spans="1:1" ht="12.5" x14ac:dyDescent="0.25">
      <c r="A319" s="9"/>
    </row>
    <row r="320" spans="1:1" ht="12.5" x14ac:dyDescent="0.25">
      <c r="A320" s="9"/>
    </row>
    <row r="321" spans="1:1" ht="12.5" x14ac:dyDescent="0.25">
      <c r="A321" s="9"/>
    </row>
    <row r="322" spans="1:1" ht="12.5" x14ac:dyDescent="0.25">
      <c r="A322" s="9"/>
    </row>
    <row r="323" spans="1:1" ht="12.5" x14ac:dyDescent="0.25">
      <c r="A323" s="9"/>
    </row>
    <row r="324" spans="1:1" ht="12.5" x14ac:dyDescent="0.25">
      <c r="A324" s="9"/>
    </row>
    <row r="325" spans="1:1" ht="12.5" x14ac:dyDescent="0.25">
      <c r="A325" s="9"/>
    </row>
    <row r="326" spans="1:1" ht="12.5" x14ac:dyDescent="0.25">
      <c r="A326" s="9"/>
    </row>
    <row r="327" spans="1:1" ht="12.5" x14ac:dyDescent="0.25">
      <c r="A327" s="9"/>
    </row>
    <row r="328" spans="1:1" ht="12.5" x14ac:dyDescent="0.25">
      <c r="A328" s="9"/>
    </row>
    <row r="329" spans="1:1" ht="12.5" x14ac:dyDescent="0.25">
      <c r="A329" s="9"/>
    </row>
    <row r="330" spans="1:1" ht="12.5" x14ac:dyDescent="0.25">
      <c r="A330" s="9"/>
    </row>
    <row r="331" spans="1:1" ht="12.5" x14ac:dyDescent="0.25">
      <c r="A331" s="9"/>
    </row>
    <row r="332" spans="1:1" ht="12.5" x14ac:dyDescent="0.25">
      <c r="A332" s="9"/>
    </row>
    <row r="333" spans="1:1" ht="12.5" x14ac:dyDescent="0.25">
      <c r="A333" s="9"/>
    </row>
    <row r="334" spans="1:1" ht="12.5" x14ac:dyDescent="0.25">
      <c r="A334" s="9"/>
    </row>
    <row r="335" spans="1:1" ht="12.5" x14ac:dyDescent="0.25">
      <c r="A335" s="9"/>
    </row>
    <row r="336" spans="1:1" ht="12.5" x14ac:dyDescent="0.25">
      <c r="A336" s="9"/>
    </row>
    <row r="337" spans="1:1" ht="12.5" x14ac:dyDescent="0.25">
      <c r="A337" s="9"/>
    </row>
    <row r="338" spans="1:1" ht="12.5" x14ac:dyDescent="0.25">
      <c r="A338" s="9"/>
    </row>
    <row r="339" spans="1:1" ht="12.5" x14ac:dyDescent="0.25">
      <c r="A339" s="9"/>
    </row>
    <row r="340" spans="1:1" ht="12.5" x14ac:dyDescent="0.25">
      <c r="A340" s="9"/>
    </row>
    <row r="341" spans="1:1" ht="12.5" x14ac:dyDescent="0.25">
      <c r="A341" s="9"/>
    </row>
    <row r="342" spans="1:1" ht="12.5" x14ac:dyDescent="0.25">
      <c r="A342" s="9"/>
    </row>
    <row r="343" spans="1:1" ht="12.5" x14ac:dyDescent="0.25">
      <c r="A343" s="9"/>
    </row>
    <row r="344" spans="1:1" ht="12.5" x14ac:dyDescent="0.25">
      <c r="A344" s="9"/>
    </row>
    <row r="345" spans="1:1" ht="12.5" x14ac:dyDescent="0.25">
      <c r="A345" s="9"/>
    </row>
    <row r="346" spans="1:1" ht="12.5" x14ac:dyDescent="0.25">
      <c r="A346" s="9"/>
    </row>
    <row r="347" spans="1:1" ht="12.5" x14ac:dyDescent="0.25">
      <c r="A347" s="9"/>
    </row>
    <row r="348" spans="1:1" ht="12.5" x14ac:dyDescent="0.25">
      <c r="A348" s="9"/>
    </row>
    <row r="349" spans="1:1" ht="12.5" x14ac:dyDescent="0.25">
      <c r="A349" s="9"/>
    </row>
    <row r="350" spans="1:1" ht="12.5" x14ac:dyDescent="0.25">
      <c r="A350" s="9"/>
    </row>
    <row r="351" spans="1:1" ht="12.5" x14ac:dyDescent="0.25">
      <c r="A351" s="9"/>
    </row>
    <row r="352" spans="1:1" ht="12.5" x14ac:dyDescent="0.25">
      <c r="A352" s="9"/>
    </row>
    <row r="353" spans="1:1" ht="12.5" x14ac:dyDescent="0.25">
      <c r="A353" s="9"/>
    </row>
    <row r="354" spans="1:1" ht="12.5" x14ac:dyDescent="0.25">
      <c r="A354" s="9"/>
    </row>
    <row r="355" spans="1:1" ht="12.5" x14ac:dyDescent="0.25">
      <c r="A355" s="9"/>
    </row>
    <row r="356" spans="1:1" ht="12.5" x14ac:dyDescent="0.25">
      <c r="A356" s="9"/>
    </row>
    <row r="357" spans="1:1" ht="12.5" x14ac:dyDescent="0.25">
      <c r="A357" s="9"/>
    </row>
    <row r="358" spans="1:1" ht="12.5" x14ac:dyDescent="0.25">
      <c r="A358" s="9"/>
    </row>
    <row r="359" spans="1:1" ht="12.5" x14ac:dyDescent="0.25">
      <c r="A359" s="9"/>
    </row>
    <row r="360" spans="1:1" ht="12.5" x14ac:dyDescent="0.25">
      <c r="A360" s="9"/>
    </row>
    <row r="361" spans="1:1" ht="12.5" x14ac:dyDescent="0.25">
      <c r="A361" s="9"/>
    </row>
    <row r="362" spans="1:1" ht="12.5" x14ac:dyDescent="0.25">
      <c r="A362" s="9"/>
    </row>
    <row r="363" spans="1:1" ht="12.5" x14ac:dyDescent="0.25">
      <c r="A363" s="9"/>
    </row>
    <row r="364" spans="1:1" ht="12.5" x14ac:dyDescent="0.25">
      <c r="A364" s="9"/>
    </row>
    <row r="365" spans="1:1" ht="12.5" x14ac:dyDescent="0.25">
      <c r="A365" s="9"/>
    </row>
    <row r="366" spans="1:1" ht="12.5" x14ac:dyDescent="0.25">
      <c r="A366" s="9"/>
    </row>
    <row r="367" spans="1:1" ht="12.5" x14ac:dyDescent="0.25">
      <c r="A367" s="9"/>
    </row>
    <row r="368" spans="1:1" ht="12.5" x14ac:dyDescent="0.25">
      <c r="A368" s="9"/>
    </row>
    <row r="369" spans="1:1" ht="12.5" x14ac:dyDescent="0.25">
      <c r="A369" s="9"/>
    </row>
    <row r="370" spans="1:1" ht="12.5" x14ac:dyDescent="0.25">
      <c r="A370" s="9"/>
    </row>
    <row r="371" spans="1:1" ht="12.5" x14ac:dyDescent="0.25">
      <c r="A371" s="9"/>
    </row>
    <row r="372" spans="1:1" ht="12.5" x14ac:dyDescent="0.25">
      <c r="A372" s="9"/>
    </row>
    <row r="373" spans="1:1" ht="12.5" x14ac:dyDescent="0.25">
      <c r="A373" s="9"/>
    </row>
    <row r="374" spans="1:1" ht="12.5" x14ac:dyDescent="0.25">
      <c r="A374" s="9"/>
    </row>
    <row r="375" spans="1:1" ht="12.5" x14ac:dyDescent="0.25">
      <c r="A375" s="9"/>
    </row>
    <row r="376" spans="1:1" ht="12.5" x14ac:dyDescent="0.25">
      <c r="A376" s="9"/>
    </row>
    <row r="377" spans="1:1" ht="12.5" x14ac:dyDescent="0.25">
      <c r="A377" s="9"/>
    </row>
    <row r="378" spans="1:1" ht="12.5" x14ac:dyDescent="0.25">
      <c r="A378" s="9"/>
    </row>
    <row r="379" spans="1:1" ht="12.5" x14ac:dyDescent="0.25">
      <c r="A379" s="9"/>
    </row>
    <row r="380" spans="1:1" ht="12.5" x14ac:dyDescent="0.25">
      <c r="A380" s="9"/>
    </row>
    <row r="381" spans="1:1" ht="12.5" x14ac:dyDescent="0.25">
      <c r="A381" s="9"/>
    </row>
    <row r="382" spans="1:1" ht="12.5" x14ac:dyDescent="0.25">
      <c r="A382" s="9"/>
    </row>
    <row r="383" spans="1:1" ht="12.5" x14ac:dyDescent="0.25">
      <c r="A383" s="9"/>
    </row>
    <row r="384" spans="1:1" ht="12.5" x14ac:dyDescent="0.25">
      <c r="A384" s="9"/>
    </row>
    <row r="385" spans="1:1" ht="12.5" x14ac:dyDescent="0.25">
      <c r="A385" s="9"/>
    </row>
    <row r="386" spans="1:1" ht="12.5" x14ac:dyDescent="0.25">
      <c r="A386" s="9"/>
    </row>
    <row r="387" spans="1:1" ht="12.5" x14ac:dyDescent="0.25">
      <c r="A387" s="9"/>
    </row>
    <row r="388" spans="1:1" ht="12.5" x14ac:dyDescent="0.25">
      <c r="A388" s="9"/>
    </row>
    <row r="389" spans="1:1" ht="12.5" x14ac:dyDescent="0.25">
      <c r="A389" s="9"/>
    </row>
    <row r="390" spans="1:1" ht="12.5" x14ac:dyDescent="0.25">
      <c r="A390" s="9"/>
    </row>
    <row r="391" spans="1:1" ht="12.5" x14ac:dyDescent="0.25">
      <c r="A391" s="9"/>
    </row>
    <row r="392" spans="1:1" ht="12.5" x14ac:dyDescent="0.25">
      <c r="A392" s="9"/>
    </row>
    <row r="393" spans="1:1" ht="12.5" x14ac:dyDescent="0.25">
      <c r="A393" s="9"/>
    </row>
    <row r="394" spans="1:1" ht="12.5" x14ac:dyDescent="0.25">
      <c r="A394" s="9"/>
    </row>
    <row r="395" spans="1:1" ht="12.5" x14ac:dyDescent="0.25">
      <c r="A395" s="9"/>
    </row>
    <row r="396" spans="1:1" ht="12.5" x14ac:dyDescent="0.25">
      <c r="A396" s="9"/>
    </row>
    <row r="397" spans="1:1" ht="12.5" x14ac:dyDescent="0.25">
      <c r="A397" s="9"/>
    </row>
    <row r="398" spans="1:1" ht="12.5" x14ac:dyDescent="0.25">
      <c r="A398" s="9"/>
    </row>
    <row r="399" spans="1:1" ht="12.5" x14ac:dyDescent="0.25">
      <c r="A399" s="9"/>
    </row>
    <row r="400" spans="1:1" ht="12.5" x14ac:dyDescent="0.25">
      <c r="A400" s="9"/>
    </row>
    <row r="401" spans="1:1" ht="12.5" x14ac:dyDescent="0.25">
      <c r="A401" s="9"/>
    </row>
    <row r="402" spans="1:1" ht="12.5" x14ac:dyDescent="0.25">
      <c r="A402" s="9"/>
    </row>
    <row r="403" spans="1:1" ht="12.5" x14ac:dyDescent="0.25">
      <c r="A403" s="9"/>
    </row>
    <row r="404" spans="1:1" ht="12.5" x14ac:dyDescent="0.25">
      <c r="A404" s="9"/>
    </row>
    <row r="405" spans="1:1" ht="12.5" x14ac:dyDescent="0.25">
      <c r="A405" s="9"/>
    </row>
    <row r="406" spans="1:1" ht="12.5" x14ac:dyDescent="0.25">
      <c r="A406" s="9"/>
    </row>
    <row r="407" spans="1:1" ht="12.5" x14ac:dyDescent="0.25">
      <c r="A407" s="9"/>
    </row>
    <row r="408" spans="1:1" ht="12.5" x14ac:dyDescent="0.25">
      <c r="A408" s="9"/>
    </row>
    <row r="409" spans="1:1" ht="12.5" x14ac:dyDescent="0.25">
      <c r="A409" s="9"/>
    </row>
    <row r="410" spans="1:1" ht="12.5" x14ac:dyDescent="0.25">
      <c r="A410" s="9"/>
    </row>
    <row r="411" spans="1:1" ht="12.5" x14ac:dyDescent="0.25">
      <c r="A411" s="9"/>
    </row>
    <row r="412" spans="1:1" ht="12.5" x14ac:dyDescent="0.25">
      <c r="A412" s="9"/>
    </row>
    <row r="413" spans="1:1" ht="12.5" x14ac:dyDescent="0.25">
      <c r="A413" s="9"/>
    </row>
    <row r="414" spans="1:1" ht="12.5" x14ac:dyDescent="0.25">
      <c r="A414" s="9"/>
    </row>
    <row r="415" spans="1:1" ht="12.5" x14ac:dyDescent="0.25">
      <c r="A415" s="9"/>
    </row>
    <row r="416" spans="1:1" ht="12.5" x14ac:dyDescent="0.25">
      <c r="A416" s="9"/>
    </row>
    <row r="417" spans="1:1" ht="12.5" x14ac:dyDescent="0.25">
      <c r="A417" s="9"/>
    </row>
    <row r="418" spans="1:1" ht="12.5" x14ac:dyDescent="0.25">
      <c r="A418" s="9"/>
    </row>
    <row r="419" spans="1:1" ht="12.5" x14ac:dyDescent="0.25">
      <c r="A419" s="9"/>
    </row>
    <row r="420" spans="1:1" ht="12.5" x14ac:dyDescent="0.25">
      <c r="A420" s="9"/>
    </row>
    <row r="421" spans="1:1" ht="12.5" x14ac:dyDescent="0.25">
      <c r="A421" s="9"/>
    </row>
    <row r="422" spans="1:1" ht="12.5" x14ac:dyDescent="0.25">
      <c r="A422" s="9"/>
    </row>
    <row r="423" spans="1:1" ht="12.5" x14ac:dyDescent="0.25">
      <c r="A423" s="9"/>
    </row>
    <row r="424" spans="1:1" ht="12.5" x14ac:dyDescent="0.25">
      <c r="A424" s="9"/>
    </row>
    <row r="425" spans="1:1" ht="12.5" x14ac:dyDescent="0.25">
      <c r="A425" s="9"/>
    </row>
    <row r="426" spans="1:1" ht="12.5" x14ac:dyDescent="0.25">
      <c r="A426" s="9"/>
    </row>
    <row r="427" spans="1:1" ht="12.5" x14ac:dyDescent="0.25">
      <c r="A427" s="9"/>
    </row>
    <row r="428" spans="1:1" ht="12.5" x14ac:dyDescent="0.25">
      <c r="A428" s="9"/>
    </row>
    <row r="429" spans="1:1" ht="12.5" x14ac:dyDescent="0.25">
      <c r="A429" s="9"/>
    </row>
    <row r="430" spans="1:1" ht="12.5" x14ac:dyDescent="0.25">
      <c r="A430" s="9"/>
    </row>
    <row r="431" spans="1:1" ht="12.5" x14ac:dyDescent="0.25">
      <c r="A431" s="9"/>
    </row>
    <row r="432" spans="1:1" ht="12.5" x14ac:dyDescent="0.25">
      <c r="A432" s="9"/>
    </row>
    <row r="433" spans="1:1" ht="12.5" x14ac:dyDescent="0.25">
      <c r="A433" s="9"/>
    </row>
    <row r="434" spans="1:1" ht="12.5" x14ac:dyDescent="0.25">
      <c r="A434" s="9"/>
    </row>
    <row r="435" spans="1:1" ht="12.5" x14ac:dyDescent="0.25">
      <c r="A435" s="9"/>
    </row>
    <row r="436" spans="1:1" ht="12.5" x14ac:dyDescent="0.25">
      <c r="A436" s="9"/>
    </row>
    <row r="437" spans="1:1" ht="12.5" x14ac:dyDescent="0.25">
      <c r="A437" s="9"/>
    </row>
    <row r="438" spans="1:1" ht="12.5" x14ac:dyDescent="0.25">
      <c r="A438" s="9"/>
    </row>
    <row r="439" spans="1:1" ht="12.5" x14ac:dyDescent="0.25">
      <c r="A439" s="9"/>
    </row>
    <row r="440" spans="1:1" ht="12.5" x14ac:dyDescent="0.25">
      <c r="A440" s="9"/>
    </row>
    <row r="441" spans="1:1" ht="12.5" x14ac:dyDescent="0.25">
      <c r="A441" s="9"/>
    </row>
    <row r="442" spans="1:1" ht="12.5" x14ac:dyDescent="0.25">
      <c r="A442" s="9"/>
    </row>
    <row r="443" spans="1:1" ht="12.5" x14ac:dyDescent="0.25">
      <c r="A443" s="9"/>
    </row>
    <row r="444" spans="1:1" ht="12.5" x14ac:dyDescent="0.25">
      <c r="A444" s="9"/>
    </row>
    <row r="445" spans="1:1" ht="12.5" x14ac:dyDescent="0.25">
      <c r="A445" s="9"/>
    </row>
    <row r="446" spans="1:1" ht="12.5" x14ac:dyDescent="0.25">
      <c r="A446" s="9"/>
    </row>
    <row r="447" spans="1:1" ht="12.5" x14ac:dyDescent="0.25">
      <c r="A447" s="9"/>
    </row>
    <row r="448" spans="1:1" ht="12.5" x14ac:dyDescent="0.25">
      <c r="A448" s="9"/>
    </row>
    <row r="449" spans="1:1" ht="12.5" x14ac:dyDescent="0.25">
      <c r="A449" s="9"/>
    </row>
    <row r="450" spans="1:1" ht="12.5" x14ac:dyDescent="0.25">
      <c r="A450" s="9"/>
    </row>
    <row r="451" spans="1:1" ht="12.5" x14ac:dyDescent="0.25">
      <c r="A451" s="9"/>
    </row>
    <row r="452" spans="1:1" ht="12.5" x14ac:dyDescent="0.25">
      <c r="A452" s="9"/>
    </row>
    <row r="453" spans="1:1" ht="12.5" x14ac:dyDescent="0.25">
      <c r="A453" s="9"/>
    </row>
    <row r="454" spans="1:1" ht="12.5" x14ac:dyDescent="0.25">
      <c r="A454" s="9"/>
    </row>
    <row r="455" spans="1:1" ht="12.5" x14ac:dyDescent="0.25">
      <c r="A455" s="9"/>
    </row>
    <row r="456" spans="1:1" ht="12.5" x14ac:dyDescent="0.25">
      <c r="A456" s="9"/>
    </row>
    <row r="457" spans="1:1" ht="12.5" x14ac:dyDescent="0.25">
      <c r="A457" s="9"/>
    </row>
    <row r="458" spans="1:1" ht="12.5" x14ac:dyDescent="0.25">
      <c r="A458" s="9"/>
    </row>
    <row r="459" spans="1:1" ht="12.5" x14ac:dyDescent="0.25">
      <c r="A459" s="9"/>
    </row>
    <row r="460" spans="1:1" ht="12.5" x14ac:dyDescent="0.25">
      <c r="A460" s="9"/>
    </row>
    <row r="461" spans="1:1" ht="12.5" x14ac:dyDescent="0.25">
      <c r="A461" s="9"/>
    </row>
    <row r="462" spans="1:1" ht="12.5" x14ac:dyDescent="0.25">
      <c r="A462" s="9"/>
    </row>
    <row r="463" spans="1:1" ht="12.5" x14ac:dyDescent="0.25">
      <c r="A463" s="9"/>
    </row>
    <row r="464" spans="1:1" ht="12.5" x14ac:dyDescent="0.25">
      <c r="A464" s="9"/>
    </row>
    <row r="465" spans="1:1" ht="12.5" x14ac:dyDescent="0.25">
      <c r="A465" s="9"/>
    </row>
    <row r="466" spans="1:1" ht="12.5" x14ac:dyDescent="0.25">
      <c r="A466" s="9"/>
    </row>
    <row r="467" spans="1:1" ht="12.5" x14ac:dyDescent="0.25">
      <c r="A467" s="9"/>
    </row>
    <row r="468" spans="1:1" ht="12.5" x14ac:dyDescent="0.25">
      <c r="A468" s="9"/>
    </row>
    <row r="469" spans="1:1" ht="12.5" x14ac:dyDescent="0.25">
      <c r="A469" s="9"/>
    </row>
    <row r="470" spans="1:1" ht="12.5" x14ac:dyDescent="0.25">
      <c r="A470" s="9"/>
    </row>
    <row r="471" spans="1:1" ht="12.5" x14ac:dyDescent="0.25">
      <c r="A471" s="9"/>
    </row>
    <row r="472" spans="1:1" ht="12.5" x14ac:dyDescent="0.25">
      <c r="A472" s="9"/>
    </row>
    <row r="473" spans="1:1" ht="12.5" x14ac:dyDescent="0.25">
      <c r="A473" s="9"/>
    </row>
    <row r="474" spans="1:1" ht="12.5" x14ac:dyDescent="0.25">
      <c r="A474" s="9"/>
    </row>
    <row r="475" spans="1:1" ht="12.5" x14ac:dyDescent="0.25">
      <c r="A475" s="9"/>
    </row>
    <row r="476" spans="1:1" ht="12.5" x14ac:dyDescent="0.25">
      <c r="A476" s="9"/>
    </row>
    <row r="477" spans="1:1" ht="12.5" x14ac:dyDescent="0.25">
      <c r="A477" s="9"/>
    </row>
    <row r="478" spans="1:1" ht="12.5" x14ac:dyDescent="0.25">
      <c r="A478" s="9"/>
    </row>
    <row r="479" spans="1:1" ht="12.5" x14ac:dyDescent="0.25">
      <c r="A479" s="9"/>
    </row>
    <row r="480" spans="1:1" ht="12.5" x14ac:dyDescent="0.25">
      <c r="A480" s="9"/>
    </row>
    <row r="481" spans="1:1" ht="12.5" x14ac:dyDescent="0.25">
      <c r="A481" s="9"/>
    </row>
    <row r="482" spans="1:1" ht="12.5" x14ac:dyDescent="0.25">
      <c r="A482" s="9"/>
    </row>
    <row r="483" spans="1:1" ht="12.5" x14ac:dyDescent="0.25">
      <c r="A483" s="9"/>
    </row>
    <row r="484" spans="1:1" ht="12.5" x14ac:dyDescent="0.25">
      <c r="A484" s="9"/>
    </row>
    <row r="485" spans="1:1" ht="12.5" x14ac:dyDescent="0.25">
      <c r="A485" s="9"/>
    </row>
    <row r="486" spans="1:1" ht="12.5" x14ac:dyDescent="0.25">
      <c r="A486" s="9"/>
    </row>
    <row r="487" spans="1:1" ht="12.5" x14ac:dyDescent="0.25">
      <c r="A487" s="9"/>
    </row>
    <row r="488" spans="1:1" ht="12.5" x14ac:dyDescent="0.25">
      <c r="A488" s="9"/>
    </row>
    <row r="489" spans="1:1" ht="12.5" x14ac:dyDescent="0.25">
      <c r="A489" s="9"/>
    </row>
    <row r="490" spans="1:1" ht="12.5" x14ac:dyDescent="0.25">
      <c r="A490" s="9"/>
    </row>
    <row r="491" spans="1:1" ht="12.5" x14ac:dyDescent="0.25">
      <c r="A491" s="9"/>
    </row>
    <row r="492" spans="1:1" ht="12.5" x14ac:dyDescent="0.25">
      <c r="A492" s="9"/>
    </row>
    <row r="493" spans="1:1" ht="12.5" x14ac:dyDescent="0.25">
      <c r="A493" s="9"/>
    </row>
    <row r="494" spans="1:1" ht="12.5" x14ac:dyDescent="0.25">
      <c r="A494" s="9"/>
    </row>
    <row r="495" spans="1:1" ht="12.5" x14ac:dyDescent="0.25">
      <c r="A495" s="9"/>
    </row>
    <row r="496" spans="1:1" ht="12.5" x14ac:dyDescent="0.25">
      <c r="A496" s="9"/>
    </row>
    <row r="497" spans="1:1" ht="12.5" x14ac:dyDescent="0.25">
      <c r="A497" s="9"/>
    </row>
    <row r="498" spans="1:1" ht="12.5" x14ac:dyDescent="0.25">
      <c r="A498" s="9"/>
    </row>
    <row r="499" spans="1:1" ht="12.5" x14ac:dyDescent="0.25">
      <c r="A499" s="9"/>
    </row>
    <row r="500" spans="1:1" ht="12.5" x14ac:dyDescent="0.25">
      <c r="A500" s="9"/>
    </row>
    <row r="501" spans="1:1" ht="12.5" x14ac:dyDescent="0.25">
      <c r="A501" s="9"/>
    </row>
    <row r="502" spans="1:1" ht="12.5" x14ac:dyDescent="0.25">
      <c r="A502" s="9"/>
    </row>
    <row r="503" spans="1:1" ht="12.5" x14ac:dyDescent="0.25">
      <c r="A503" s="9"/>
    </row>
    <row r="504" spans="1:1" ht="12.5" x14ac:dyDescent="0.25">
      <c r="A504" s="9"/>
    </row>
    <row r="505" spans="1:1" ht="12.5" x14ac:dyDescent="0.25">
      <c r="A505" s="9"/>
    </row>
    <row r="506" spans="1:1" ht="12.5" x14ac:dyDescent="0.25">
      <c r="A506" s="9"/>
    </row>
    <row r="507" spans="1:1" ht="12.5" x14ac:dyDescent="0.25">
      <c r="A507" s="9"/>
    </row>
    <row r="508" spans="1:1" ht="12.5" x14ac:dyDescent="0.25">
      <c r="A508" s="9"/>
    </row>
    <row r="509" spans="1:1" ht="12.5" x14ac:dyDescent="0.25">
      <c r="A509" s="9"/>
    </row>
    <row r="510" spans="1:1" ht="12.5" x14ac:dyDescent="0.25">
      <c r="A510" s="9"/>
    </row>
    <row r="511" spans="1:1" ht="12.5" x14ac:dyDescent="0.25">
      <c r="A511" s="9"/>
    </row>
    <row r="512" spans="1:1" ht="12.5" x14ac:dyDescent="0.25">
      <c r="A512" s="9"/>
    </row>
    <row r="513" spans="1:1" ht="12.5" x14ac:dyDescent="0.25">
      <c r="A513" s="9"/>
    </row>
    <row r="514" spans="1:1" ht="12.5" x14ac:dyDescent="0.25">
      <c r="A514" s="9"/>
    </row>
    <row r="515" spans="1:1" ht="12.5" x14ac:dyDescent="0.25">
      <c r="A515" s="9"/>
    </row>
    <row r="516" spans="1:1" ht="12.5" x14ac:dyDescent="0.25">
      <c r="A516" s="9"/>
    </row>
    <row r="517" spans="1:1" ht="12.5" x14ac:dyDescent="0.25">
      <c r="A517" s="9"/>
    </row>
    <row r="518" spans="1:1" ht="12.5" x14ac:dyDescent="0.25">
      <c r="A518" s="9"/>
    </row>
    <row r="519" spans="1:1" ht="12.5" x14ac:dyDescent="0.25">
      <c r="A519" s="9"/>
    </row>
    <row r="520" spans="1:1" ht="12.5" x14ac:dyDescent="0.25">
      <c r="A520" s="9"/>
    </row>
    <row r="521" spans="1:1" ht="12.5" x14ac:dyDescent="0.25">
      <c r="A521" s="9"/>
    </row>
    <row r="522" spans="1:1" ht="12.5" x14ac:dyDescent="0.25">
      <c r="A522" s="9"/>
    </row>
    <row r="523" spans="1:1" ht="12.5" x14ac:dyDescent="0.25">
      <c r="A523" s="9"/>
    </row>
    <row r="524" spans="1:1" ht="12.5" x14ac:dyDescent="0.25">
      <c r="A524" s="9"/>
    </row>
    <row r="525" spans="1:1" ht="12.5" x14ac:dyDescent="0.25">
      <c r="A525" s="9"/>
    </row>
    <row r="526" spans="1:1" ht="12.5" x14ac:dyDescent="0.25">
      <c r="A526" s="9"/>
    </row>
    <row r="527" spans="1:1" ht="12.5" x14ac:dyDescent="0.25">
      <c r="A527" s="9"/>
    </row>
    <row r="528" spans="1:1" ht="12.5" x14ac:dyDescent="0.25">
      <c r="A528" s="9"/>
    </row>
    <row r="529" spans="1:1" ht="12.5" x14ac:dyDescent="0.25">
      <c r="A529" s="9"/>
    </row>
    <row r="530" spans="1:1" ht="12.5" x14ac:dyDescent="0.25">
      <c r="A530" s="9"/>
    </row>
    <row r="531" spans="1:1" ht="12.5" x14ac:dyDescent="0.25">
      <c r="A531" s="9"/>
    </row>
    <row r="532" spans="1:1" ht="12.5" x14ac:dyDescent="0.25">
      <c r="A532" s="9"/>
    </row>
    <row r="533" spans="1:1" ht="12.5" x14ac:dyDescent="0.25">
      <c r="A533" s="9"/>
    </row>
    <row r="534" spans="1:1" ht="12.5" x14ac:dyDescent="0.25">
      <c r="A534" s="9"/>
    </row>
    <row r="535" spans="1:1" ht="12.5" x14ac:dyDescent="0.25">
      <c r="A535" s="9"/>
    </row>
    <row r="536" spans="1:1" ht="12.5" x14ac:dyDescent="0.25">
      <c r="A536" s="9"/>
    </row>
    <row r="537" spans="1:1" ht="12.5" x14ac:dyDescent="0.25">
      <c r="A537" s="9"/>
    </row>
    <row r="538" spans="1:1" ht="12.5" x14ac:dyDescent="0.25">
      <c r="A538" s="9"/>
    </row>
    <row r="539" spans="1:1" ht="12.5" x14ac:dyDescent="0.25">
      <c r="A539" s="9"/>
    </row>
    <row r="540" spans="1:1" ht="12.5" x14ac:dyDescent="0.25">
      <c r="A540" s="9"/>
    </row>
    <row r="541" spans="1:1" ht="12.5" x14ac:dyDescent="0.25">
      <c r="A541" s="9"/>
    </row>
    <row r="542" spans="1:1" ht="12.5" x14ac:dyDescent="0.25">
      <c r="A542" s="9"/>
    </row>
    <row r="543" spans="1:1" ht="12.5" x14ac:dyDescent="0.25">
      <c r="A543" s="9"/>
    </row>
    <row r="544" spans="1:1" ht="12.5" x14ac:dyDescent="0.25">
      <c r="A544" s="9"/>
    </row>
    <row r="545" spans="1:1" ht="12.5" x14ac:dyDescent="0.25">
      <c r="A545" s="9"/>
    </row>
    <row r="546" spans="1:1" ht="12.5" x14ac:dyDescent="0.25">
      <c r="A546" s="9"/>
    </row>
    <row r="547" spans="1:1" ht="12.5" x14ac:dyDescent="0.25">
      <c r="A547" s="9"/>
    </row>
    <row r="548" spans="1:1" ht="12.5" x14ac:dyDescent="0.25">
      <c r="A548" s="9"/>
    </row>
    <row r="549" spans="1:1" ht="12.5" x14ac:dyDescent="0.25">
      <c r="A549" s="9"/>
    </row>
    <row r="550" spans="1:1" ht="12.5" x14ac:dyDescent="0.25">
      <c r="A550" s="9"/>
    </row>
    <row r="551" spans="1:1" ht="12.5" x14ac:dyDescent="0.25">
      <c r="A551" s="9"/>
    </row>
    <row r="552" spans="1:1" ht="12.5" x14ac:dyDescent="0.25">
      <c r="A552" s="9"/>
    </row>
    <row r="553" spans="1:1" ht="12.5" x14ac:dyDescent="0.25">
      <c r="A553" s="9"/>
    </row>
    <row r="554" spans="1:1" ht="12.5" x14ac:dyDescent="0.25">
      <c r="A554" s="9"/>
    </row>
    <row r="555" spans="1:1" ht="12.5" x14ac:dyDescent="0.25">
      <c r="A555" s="9"/>
    </row>
    <row r="556" spans="1:1" ht="12.5" x14ac:dyDescent="0.25">
      <c r="A556" s="9"/>
    </row>
    <row r="557" spans="1:1" ht="12.5" x14ac:dyDescent="0.25">
      <c r="A557" s="9"/>
    </row>
    <row r="558" spans="1:1" ht="12.5" x14ac:dyDescent="0.25">
      <c r="A558" s="9"/>
    </row>
    <row r="559" spans="1:1" ht="12.5" x14ac:dyDescent="0.25">
      <c r="A559" s="9"/>
    </row>
    <row r="560" spans="1:1" ht="12.5" x14ac:dyDescent="0.25">
      <c r="A560" s="9"/>
    </row>
    <row r="561" spans="1:1" ht="12.5" x14ac:dyDescent="0.25">
      <c r="A561" s="9"/>
    </row>
    <row r="562" spans="1:1" ht="12.5" x14ac:dyDescent="0.25">
      <c r="A562" s="9"/>
    </row>
    <row r="563" spans="1:1" ht="12.5" x14ac:dyDescent="0.25">
      <c r="A563" s="9"/>
    </row>
    <row r="564" spans="1:1" ht="12.5" x14ac:dyDescent="0.25">
      <c r="A564" s="9"/>
    </row>
    <row r="565" spans="1:1" ht="12.5" x14ac:dyDescent="0.25">
      <c r="A565" s="9"/>
    </row>
    <row r="566" spans="1:1" ht="12.5" x14ac:dyDescent="0.25">
      <c r="A566" s="9"/>
    </row>
    <row r="567" spans="1:1" ht="12.5" x14ac:dyDescent="0.25">
      <c r="A567" s="9"/>
    </row>
    <row r="568" spans="1:1" ht="12.5" x14ac:dyDescent="0.25">
      <c r="A568" s="9"/>
    </row>
    <row r="569" spans="1:1" ht="12.5" x14ac:dyDescent="0.25">
      <c r="A569" s="9"/>
    </row>
    <row r="570" spans="1:1" ht="12.5" x14ac:dyDescent="0.25">
      <c r="A570" s="9"/>
    </row>
    <row r="571" spans="1:1" ht="12.5" x14ac:dyDescent="0.25">
      <c r="A571" s="9"/>
    </row>
    <row r="572" spans="1:1" ht="12.5" x14ac:dyDescent="0.25">
      <c r="A572" s="9"/>
    </row>
    <row r="573" spans="1:1" ht="12.5" x14ac:dyDescent="0.25">
      <c r="A573" s="9"/>
    </row>
    <row r="574" spans="1:1" ht="12.5" x14ac:dyDescent="0.25">
      <c r="A574" s="9"/>
    </row>
    <row r="575" spans="1:1" ht="12.5" x14ac:dyDescent="0.25">
      <c r="A575" s="9"/>
    </row>
    <row r="576" spans="1:1" ht="12.5" x14ac:dyDescent="0.25">
      <c r="A576" s="9"/>
    </row>
    <row r="577" spans="1:1" ht="12.5" x14ac:dyDescent="0.25">
      <c r="A577" s="9"/>
    </row>
    <row r="578" spans="1:1" ht="12.5" x14ac:dyDescent="0.25">
      <c r="A578" s="9"/>
    </row>
    <row r="579" spans="1:1" ht="12.5" x14ac:dyDescent="0.25">
      <c r="A579" s="9"/>
    </row>
    <row r="580" spans="1:1" ht="12.5" x14ac:dyDescent="0.25">
      <c r="A580" s="9"/>
    </row>
    <row r="581" spans="1:1" ht="12.5" x14ac:dyDescent="0.25">
      <c r="A581" s="9"/>
    </row>
    <row r="582" spans="1:1" ht="12.5" x14ac:dyDescent="0.25">
      <c r="A582" s="9"/>
    </row>
    <row r="583" spans="1:1" ht="12.5" x14ac:dyDescent="0.25">
      <c r="A583" s="9"/>
    </row>
    <row r="584" spans="1:1" ht="12.5" x14ac:dyDescent="0.25">
      <c r="A584" s="9"/>
    </row>
    <row r="585" spans="1:1" ht="12.5" x14ac:dyDescent="0.25">
      <c r="A585" s="9"/>
    </row>
    <row r="586" spans="1:1" ht="12.5" x14ac:dyDescent="0.25">
      <c r="A586" s="9"/>
    </row>
    <row r="587" spans="1:1" ht="12.5" x14ac:dyDescent="0.25">
      <c r="A587" s="9"/>
    </row>
    <row r="588" spans="1:1" ht="12.5" x14ac:dyDescent="0.25">
      <c r="A588" s="9"/>
    </row>
    <row r="589" spans="1:1" ht="12.5" x14ac:dyDescent="0.25">
      <c r="A589" s="9"/>
    </row>
    <row r="590" spans="1:1" ht="12.5" x14ac:dyDescent="0.25">
      <c r="A590" s="9"/>
    </row>
    <row r="591" spans="1:1" ht="12.5" x14ac:dyDescent="0.25">
      <c r="A591" s="9"/>
    </row>
    <row r="592" spans="1:1" ht="12.5" x14ac:dyDescent="0.25">
      <c r="A592" s="9"/>
    </row>
    <row r="593" spans="1:1" ht="12.5" x14ac:dyDescent="0.25">
      <c r="A593" s="9"/>
    </row>
    <row r="594" spans="1:1" ht="12.5" x14ac:dyDescent="0.25">
      <c r="A594" s="9"/>
    </row>
    <row r="595" spans="1:1" ht="12.5" x14ac:dyDescent="0.25">
      <c r="A595" s="9"/>
    </row>
    <row r="596" spans="1:1" ht="12.5" x14ac:dyDescent="0.25">
      <c r="A596" s="9"/>
    </row>
    <row r="597" spans="1:1" ht="12.5" x14ac:dyDescent="0.25">
      <c r="A597" s="9"/>
    </row>
    <row r="598" spans="1:1" ht="12.5" x14ac:dyDescent="0.25">
      <c r="A598" s="9"/>
    </row>
    <row r="599" spans="1:1" ht="12.5" x14ac:dyDescent="0.25">
      <c r="A599" s="9"/>
    </row>
    <row r="600" spans="1:1" ht="12.5" x14ac:dyDescent="0.25">
      <c r="A600" s="9"/>
    </row>
    <row r="601" spans="1:1" ht="12.5" x14ac:dyDescent="0.25">
      <c r="A601" s="9"/>
    </row>
    <row r="602" spans="1:1" ht="12.5" x14ac:dyDescent="0.25">
      <c r="A602" s="9"/>
    </row>
    <row r="603" spans="1:1" ht="12.5" x14ac:dyDescent="0.25">
      <c r="A603" s="9"/>
    </row>
    <row r="604" spans="1:1" ht="12.5" x14ac:dyDescent="0.25">
      <c r="A604" s="9"/>
    </row>
    <row r="605" spans="1:1" ht="12.5" x14ac:dyDescent="0.25">
      <c r="A605" s="9"/>
    </row>
    <row r="606" spans="1:1" ht="12.5" x14ac:dyDescent="0.25">
      <c r="A606" s="9"/>
    </row>
    <row r="607" spans="1:1" ht="12.5" x14ac:dyDescent="0.25">
      <c r="A607" s="9"/>
    </row>
    <row r="608" spans="1:1" ht="12.5" x14ac:dyDescent="0.25">
      <c r="A608" s="9"/>
    </row>
    <row r="609" spans="1:1" ht="12.5" x14ac:dyDescent="0.25">
      <c r="A609" s="9"/>
    </row>
    <row r="610" spans="1:1" ht="12.5" x14ac:dyDescent="0.25">
      <c r="A610" s="9"/>
    </row>
    <row r="611" spans="1:1" ht="12.5" x14ac:dyDescent="0.25">
      <c r="A611" s="9"/>
    </row>
    <row r="612" spans="1:1" ht="12.5" x14ac:dyDescent="0.25">
      <c r="A612" s="9"/>
    </row>
    <row r="613" spans="1:1" ht="12.5" x14ac:dyDescent="0.25">
      <c r="A613" s="9"/>
    </row>
    <row r="614" spans="1:1" ht="12.5" x14ac:dyDescent="0.25">
      <c r="A614" s="9"/>
    </row>
    <row r="615" spans="1:1" ht="12.5" x14ac:dyDescent="0.25">
      <c r="A615" s="9"/>
    </row>
    <row r="616" spans="1:1" ht="12.5" x14ac:dyDescent="0.25">
      <c r="A616" s="9"/>
    </row>
    <row r="617" spans="1:1" ht="12.5" x14ac:dyDescent="0.25">
      <c r="A617" s="9"/>
    </row>
    <row r="618" spans="1:1" ht="12.5" x14ac:dyDescent="0.25">
      <c r="A618" s="9"/>
    </row>
    <row r="619" spans="1:1" ht="12.5" x14ac:dyDescent="0.25">
      <c r="A619" s="9"/>
    </row>
    <row r="620" spans="1:1" ht="12.5" x14ac:dyDescent="0.25">
      <c r="A620" s="9"/>
    </row>
    <row r="621" spans="1:1" ht="12.5" x14ac:dyDescent="0.25">
      <c r="A621" s="9"/>
    </row>
    <row r="622" spans="1:1" ht="12.5" x14ac:dyDescent="0.25">
      <c r="A622" s="9"/>
    </row>
    <row r="623" spans="1:1" ht="12.5" x14ac:dyDescent="0.25">
      <c r="A623" s="9"/>
    </row>
    <row r="624" spans="1:1" ht="12.5" x14ac:dyDescent="0.25">
      <c r="A624" s="9"/>
    </row>
    <row r="625" spans="1:1" ht="12.5" x14ac:dyDescent="0.25">
      <c r="A625" s="9"/>
    </row>
    <row r="626" spans="1:1" ht="12.5" x14ac:dyDescent="0.25">
      <c r="A626" s="9"/>
    </row>
    <row r="627" spans="1:1" ht="12.5" x14ac:dyDescent="0.25">
      <c r="A627" s="9"/>
    </row>
    <row r="628" spans="1:1" ht="12.5" x14ac:dyDescent="0.25">
      <c r="A628" s="9"/>
    </row>
    <row r="629" spans="1:1" ht="12.5" x14ac:dyDescent="0.25">
      <c r="A629" s="9"/>
    </row>
    <row r="630" spans="1:1" ht="12.5" x14ac:dyDescent="0.25">
      <c r="A630" s="9"/>
    </row>
    <row r="631" spans="1:1" ht="12.5" x14ac:dyDescent="0.25">
      <c r="A631" s="9"/>
    </row>
    <row r="632" spans="1:1" ht="12.5" x14ac:dyDescent="0.25">
      <c r="A632" s="9"/>
    </row>
    <row r="633" spans="1:1" ht="12.5" x14ac:dyDescent="0.25">
      <c r="A633" s="9"/>
    </row>
    <row r="634" spans="1:1" ht="12.5" x14ac:dyDescent="0.25">
      <c r="A634" s="9"/>
    </row>
    <row r="635" spans="1:1" ht="12.5" x14ac:dyDescent="0.25">
      <c r="A635" s="9"/>
    </row>
    <row r="636" spans="1:1" ht="12.5" x14ac:dyDescent="0.25">
      <c r="A636" s="9"/>
    </row>
    <row r="637" spans="1:1" ht="12.5" x14ac:dyDescent="0.25">
      <c r="A637" s="9"/>
    </row>
    <row r="638" spans="1:1" ht="12.5" x14ac:dyDescent="0.25">
      <c r="A638" s="9"/>
    </row>
    <row r="639" spans="1:1" ht="12.5" x14ac:dyDescent="0.25">
      <c r="A639" s="9"/>
    </row>
    <row r="640" spans="1:1" ht="12.5" x14ac:dyDescent="0.25">
      <c r="A640" s="9"/>
    </row>
    <row r="641" spans="1:1" ht="12.5" x14ac:dyDescent="0.25">
      <c r="A641" s="9"/>
    </row>
    <row r="642" spans="1:1" ht="12.5" x14ac:dyDescent="0.25">
      <c r="A642" s="9"/>
    </row>
    <row r="643" spans="1:1" ht="12.5" x14ac:dyDescent="0.25">
      <c r="A643" s="9"/>
    </row>
    <row r="644" spans="1:1" ht="12.5" x14ac:dyDescent="0.25">
      <c r="A644" s="9"/>
    </row>
    <row r="645" spans="1:1" ht="12.5" x14ac:dyDescent="0.25">
      <c r="A645" s="9"/>
    </row>
    <row r="646" spans="1:1" ht="12.5" x14ac:dyDescent="0.25">
      <c r="A646" s="9"/>
    </row>
    <row r="647" spans="1:1" ht="12.5" x14ac:dyDescent="0.25">
      <c r="A647" s="9"/>
    </row>
    <row r="648" spans="1:1" ht="12.5" x14ac:dyDescent="0.25">
      <c r="A648" s="9"/>
    </row>
    <row r="649" spans="1:1" ht="12.5" x14ac:dyDescent="0.25">
      <c r="A649" s="9"/>
    </row>
    <row r="650" spans="1:1" ht="12.5" x14ac:dyDescent="0.25">
      <c r="A650" s="9"/>
    </row>
    <row r="651" spans="1:1" ht="12.5" x14ac:dyDescent="0.25">
      <c r="A651" s="9"/>
    </row>
    <row r="652" spans="1:1" ht="12.5" x14ac:dyDescent="0.25">
      <c r="A652" s="9"/>
    </row>
    <row r="653" spans="1:1" ht="12.5" x14ac:dyDescent="0.25">
      <c r="A653" s="9"/>
    </row>
    <row r="654" spans="1:1" ht="12.5" x14ac:dyDescent="0.25">
      <c r="A654" s="9"/>
    </row>
    <row r="655" spans="1:1" ht="12.5" x14ac:dyDescent="0.25">
      <c r="A655" s="9"/>
    </row>
    <row r="656" spans="1:1" ht="12.5" x14ac:dyDescent="0.25">
      <c r="A656" s="9"/>
    </row>
    <row r="657" spans="1:1" ht="12.5" x14ac:dyDescent="0.25">
      <c r="A657" s="9"/>
    </row>
    <row r="658" spans="1:1" ht="12.5" x14ac:dyDescent="0.25">
      <c r="A658" s="9"/>
    </row>
    <row r="659" spans="1:1" ht="12.5" x14ac:dyDescent="0.25">
      <c r="A659" s="9"/>
    </row>
    <row r="660" spans="1:1" ht="12.5" x14ac:dyDescent="0.25">
      <c r="A660" s="9"/>
    </row>
    <row r="661" spans="1:1" ht="12.5" x14ac:dyDescent="0.25">
      <c r="A661" s="9"/>
    </row>
    <row r="662" spans="1:1" ht="12.5" x14ac:dyDescent="0.25">
      <c r="A662" s="9"/>
    </row>
    <row r="663" spans="1:1" ht="12.5" x14ac:dyDescent="0.25">
      <c r="A663" s="9"/>
    </row>
    <row r="664" spans="1:1" ht="12.5" x14ac:dyDescent="0.25">
      <c r="A664" s="9"/>
    </row>
    <row r="665" spans="1:1" ht="12.5" x14ac:dyDescent="0.25">
      <c r="A665" s="9"/>
    </row>
    <row r="666" spans="1:1" ht="12.5" x14ac:dyDescent="0.25">
      <c r="A666" s="9"/>
    </row>
    <row r="667" spans="1:1" ht="12.5" x14ac:dyDescent="0.25">
      <c r="A667" s="9"/>
    </row>
    <row r="668" spans="1:1" ht="12.5" x14ac:dyDescent="0.25">
      <c r="A668" s="9"/>
    </row>
    <row r="669" spans="1:1" ht="12.5" x14ac:dyDescent="0.25">
      <c r="A669" s="9"/>
    </row>
    <row r="670" spans="1:1" ht="12.5" x14ac:dyDescent="0.25">
      <c r="A670" s="9"/>
    </row>
    <row r="671" spans="1:1" ht="12.5" x14ac:dyDescent="0.25">
      <c r="A671" s="9"/>
    </row>
    <row r="672" spans="1:1" ht="12.5" x14ac:dyDescent="0.25">
      <c r="A672" s="9"/>
    </row>
    <row r="673" spans="1:1" ht="12.5" x14ac:dyDescent="0.25">
      <c r="A673" s="9"/>
    </row>
    <row r="674" spans="1:1" ht="12.5" x14ac:dyDescent="0.25">
      <c r="A674" s="9"/>
    </row>
    <row r="675" spans="1:1" ht="12.5" x14ac:dyDescent="0.25">
      <c r="A675" s="9"/>
    </row>
    <row r="676" spans="1:1" ht="12.5" x14ac:dyDescent="0.25">
      <c r="A676" s="9"/>
    </row>
    <row r="677" spans="1:1" ht="12.5" x14ac:dyDescent="0.25">
      <c r="A677" s="9"/>
    </row>
    <row r="678" spans="1:1" ht="12.5" x14ac:dyDescent="0.25">
      <c r="A678" s="9"/>
    </row>
    <row r="679" spans="1:1" ht="12.5" x14ac:dyDescent="0.25">
      <c r="A679" s="9"/>
    </row>
    <row r="680" spans="1:1" ht="12.5" x14ac:dyDescent="0.25">
      <c r="A680" s="9"/>
    </row>
    <row r="681" spans="1:1" ht="12.5" x14ac:dyDescent="0.25">
      <c r="A681" s="9"/>
    </row>
    <row r="682" spans="1:1" ht="12.5" x14ac:dyDescent="0.25">
      <c r="A682" s="9"/>
    </row>
    <row r="683" spans="1:1" ht="12.5" x14ac:dyDescent="0.25">
      <c r="A683" s="9"/>
    </row>
    <row r="684" spans="1:1" ht="12.5" x14ac:dyDescent="0.25">
      <c r="A684" s="9"/>
    </row>
    <row r="685" spans="1:1" ht="12.5" x14ac:dyDescent="0.25">
      <c r="A685" s="9"/>
    </row>
    <row r="686" spans="1:1" ht="12.5" x14ac:dyDescent="0.25">
      <c r="A686" s="9"/>
    </row>
    <row r="687" spans="1:1" ht="12.5" x14ac:dyDescent="0.25">
      <c r="A687" s="9"/>
    </row>
    <row r="688" spans="1:1" ht="12.5" x14ac:dyDescent="0.25">
      <c r="A688" s="9"/>
    </row>
    <row r="689" spans="1:1" ht="12.5" x14ac:dyDescent="0.25">
      <c r="A689" s="9"/>
    </row>
    <row r="690" spans="1:1" ht="12.5" x14ac:dyDescent="0.25">
      <c r="A690" s="9"/>
    </row>
    <row r="691" spans="1:1" ht="12.5" x14ac:dyDescent="0.25">
      <c r="A691" s="9"/>
    </row>
    <row r="692" spans="1:1" ht="12.5" x14ac:dyDescent="0.25">
      <c r="A692" s="9"/>
    </row>
    <row r="693" spans="1:1" ht="12.5" x14ac:dyDescent="0.25">
      <c r="A693" s="9"/>
    </row>
    <row r="694" spans="1:1" ht="12.5" x14ac:dyDescent="0.25">
      <c r="A694" s="9"/>
    </row>
    <row r="695" spans="1:1" ht="12.5" x14ac:dyDescent="0.25">
      <c r="A695" s="9"/>
    </row>
    <row r="696" spans="1:1" ht="12.5" x14ac:dyDescent="0.25">
      <c r="A696" s="9"/>
    </row>
    <row r="697" spans="1:1" ht="12.5" x14ac:dyDescent="0.25">
      <c r="A697" s="9"/>
    </row>
    <row r="698" spans="1:1" ht="12.5" x14ac:dyDescent="0.25">
      <c r="A698" s="9"/>
    </row>
    <row r="699" spans="1:1" ht="12.5" x14ac:dyDescent="0.25">
      <c r="A699" s="9"/>
    </row>
    <row r="700" spans="1:1" ht="12.5" x14ac:dyDescent="0.25">
      <c r="A700" s="9"/>
    </row>
    <row r="701" spans="1:1" ht="12.5" x14ac:dyDescent="0.25">
      <c r="A701" s="9"/>
    </row>
    <row r="702" spans="1:1" ht="12.5" x14ac:dyDescent="0.25">
      <c r="A702" s="9"/>
    </row>
    <row r="703" spans="1:1" ht="12.5" x14ac:dyDescent="0.25">
      <c r="A703" s="9"/>
    </row>
    <row r="704" spans="1:1" ht="12.5" x14ac:dyDescent="0.25">
      <c r="A704" s="9"/>
    </row>
    <row r="705" spans="1:1" ht="12.5" x14ac:dyDescent="0.25">
      <c r="A705" s="9"/>
    </row>
    <row r="706" spans="1:1" ht="12.5" x14ac:dyDescent="0.25">
      <c r="A706" s="9"/>
    </row>
    <row r="707" spans="1:1" ht="12.5" x14ac:dyDescent="0.25">
      <c r="A707" s="9"/>
    </row>
    <row r="708" spans="1:1" ht="12.5" x14ac:dyDescent="0.25">
      <c r="A708" s="9"/>
    </row>
    <row r="709" spans="1:1" ht="12.5" x14ac:dyDescent="0.25">
      <c r="A709" s="9"/>
    </row>
    <row r="710" spans="1:1" ht="12.5" x14ac:dyDescent="0.25">
      <c r="A710" s="9"/>
    </row>
    <row r="711" spans="1:1" ht="12.5" x14ac:dyDescent="0.25">
      <c r="A711" s="9"/>
    </row>
    <row r="712" spans="1:1" ht="12.5" x14ac:dyDescent="0.25">
      <c r="A712" s="9"/>
    </row>
    <row r="713" spans="1:1" ht="12.5" x14ac:dyDescent="0.25">
      <c r="A713" s="9"/>
    </row>
    <row r="714" spans="1:1" ht="12.5" x14ac:dyDescent="0.25">
      <c r="A714" s="9"/>
    </row>
    <row r="715" spans="1:1" ht="12.5" x14ac:dyDescent="0.25">
      <c r="A715" s="9"/>
    </row>
    <row r="716" spans="1:1" ht="12.5" x14ac:dyDescent="0.25">
      <c r="A716" s="9"/>
    </row>
    <row r="717" spans="1:1" ht="12.5" x14ac:dyDescent="0.25">
      <c r="A717" s="9"/>
    </row>
    <row r="718" spans="1:1" ht="12.5" x14ac:dyDescent="0.25">
      <c r="A718" s="9"/>
    </row>
    <row r="719" spans="1:1" ht="12.5" x14ac:dyDescent="0.25">
      <c r="A719" s="9"/>
    </row>
    <row r="720" spans="1:1" ht="12.5" x14ac:dyDescent="0.25">
      <c r="A720" s="9"/>
    </row>
    <row r="721" spans="1:1" ht="12.5" x14ac:dyDescent="0.25">
      <c r="A721" s="9"/>
    </row>
    <row r="722" spans="1:1" ht="12.5" x14ac:dyDescent="0.25">
      <c r="A722" s="9"/>
    </row>
    <row r="723" spans="1:1" ht="12.5" x14ac:dyDescent="0.25">
      <c r="A723" s="9"/>
    </row>
    <row r="724" spans="1:1" ht="12.5" x14ac:dyDescent="0.25">
      <c r="A724" s="9"/>
    </row>
    <row r="725" spans="1:1" ht="12.5" x14ac:dyDescent="0.25">
      <c r="A725" s="9"/>
    </row>
    <row r="726" spans="1:1" ht="12.5" x14ac:dyDescent="0.25">
      <c r="A726" s="9"/>
    </row>
    <row r="727" spans="1:1" ht="12.5" x14ac:dyDescent="0.25">
      <c r="A727" s="9"/>
    </row>
    <row r="728" spans="1:1" ht="12.5" x14ac:dyDescent="0.25">
      <c r="A728" s="9"/>
    </row>
    <row r="729" spans="1:1" ht="12.5" x14ac:dyDescent="0.25">
      <c r="A729" s="9"/>
    </row>
    <row r="730" spans="1:1" ht="12.5" x14ac:dyDescent="0.25">
      <c r="A730" s="9"/>
    </row>
    <row r="731" spans="1:1" ht="12.5" x14ac:dyDescent="0.25">
      <c r="A731" s="9"/>
    </row>
    <row r="732" spans="1:1" ht="12.5" x14ac:dyDescent="0.25">
      <c r="A732" s="9"/>
    </row>
    <row r="733" spans="1:1" ht="12.5" x14ac:dyDescent="0.25">
      <c r="A733" s="9"/>
    </row>
    <row r="734" spans="1:1" ht="12.5" x14ac:dyDescent="0.25">
      <c r="A734" s="9"/>
    </row>
    <row r="735" spans="1:1" ht="12.5" x14ac:dyDescent="0.25">
      <c r="A735" s="9"/>
    </row>
    <row r="736" spans="1:1" ht="12.5" x14ac:dyDescent="0.25">
      <c r="A736" s="9"/>
    </row>
    <row r="737" spans="1:1" ht="12.5" x14ac:dyDescent="0.25">
      <c r="A737" s="9"/>
    </row>
    <row r="738" spans="1:1" ht="12.5" x14ac:dyDescent="0.25">
      <c r="A738" s="9"/>
    </row>
    <row r="739" spans="1:1" ht="12.5" x14ac:dyDescent="0.25">
      <c r="A739" s="9"/>
    </row>
    <row r="740" spans="1:1" ht="12.5" x14ac:dyDescent="0.25">
      <c r="A740" s="9"/>
    </row>
    <row r="741" spans="1:1" ht="12.5" x14ac:dyDescent="0.25">
      <c r="A741" s="9"/>
    </row>
    <row r="742" spans="1:1" ht="12.5" x14ac:dyDescent="0.25">
      <c r="A742" s="9"/>
    </row>
    <row r="743" spans="1:1" ht="12.5" x14ac:dyDescent="0.25">
      <c r="A743" s="9"/>
    </row>
    <row r="744" spans="1:1" ht="12.5" x14ac:dyDescent="0.25">
      <c r="A744" s="9"/>
    </row>
    <row r="745" spans="1:1" ht="12.5" x14ac:dyDescent="0.25">
      <c r="A745" s="9"/>
    </row>
    <row r="746" spans="1:1" ht="12.5" x14ac:dyDescent="0.25">
      <c r="A746" s="9"/>
    </row>
    <row r="747" spans="1:1" ht="12.5" x14ac:dyDescent="0.25">
      <c r="A747" s="9"/>
    </row>
    <row r="748" spans="1:1" ht="12.5" x14ac:dyDescent="0.25">
      <c r="A748" s="9"/>
    </row>
    <row r="749" spans="1:1" ht="12.5" x14ac:dyDescent="0.25">
      <c r="A749" s="9"/>
    </row>
    <row r="750" spans="1:1" ht="12.5" x14ac:dyDescent="0.25">
      <c r="A750" s="9"/>
    </row>
    <row r="751" spans="1:1" ht="12.5" x14ac:dyDescent="0.25">
      <c r="A751" s="9"/>
    </row>
    <row r="752" spans="1:1" ht="12.5" x14ac:dyDescent="0.25">
      <c r="A752" s="9"/>
    </row>
    <row r="753" spans="1:1" ht="12.5" x14ac:dyDescent="0.25">
      <c r="A753" s="9"/>
    </row>
    <row r="754" spans="1:1" ht="12.5" x14ac:dyDescent="0.25">
      <c r="A754" s="9"/>
    </row>
    <row r="755" spans="1:1" ht="12.5" x14ac:dyDescent="0.25">
      <c r="A755" s="9"/>
    </row>
    <row r="756" spans="1:1" ht="12.5" x14ac:dyDescent="0.25">
      <c r="A756" s="9"/>
    </row>
    <row r="757" spans="1:1" ht="12.5" x14ac:dyDescent="0.25">
      <c r="A757" s="9"/>
    </row>
    <row r="758" spans="1:1" ht="12.5" x14ac:dyDescent="0.25">
      <c r="A758" s="9"/>
    </row>
    <row r="759" spans="1:1" ht="12.5" x14ac:dyDescent="0.25">
      <c r="A759" s="9"/>
    </row>
    <row r="760" spans="1:1" ht="12.5" x14ac:dyDescent="0.25">
      <c r="A760" s="9"/>
    </row>
    <row r="761" spans="1:1" ht="12.5" x14ac:dyDescent="0.25">
      <c r="A761" s="9"/>
    </row>
    <row r="762" spans="1:1" ht="12.5" x14ac:dyDescent="0.25">
      <c r="A762" s="9"/>
    </row>
    <row r="763" spans="1:1" ht="12.5" x14ac:dyDescent="0.25">
      <c r="A763" s="9"/>
    </row>
    <row r="764" spans="1:1" ht="12.5" x14ac:dyDescent="0.25">
      <c r="A764" s="9"/>
    </row>
    <row r="765" spans="1:1" ht="12.5" x14ac:dyDescent="0.25">
      <c r="A765" s="9"/>
    </row>
    <row r="766" spans="1:1" ht="12.5" x14ac:dyDescent="0.25">
      <c r="A766" s="9"/>
    </row>
    <row r="767" spans="1:1" ht="12.5" x14ac:dyDescent="0.25">
      <c r="A767" s="9"/>
    </row>
    <row r="768" spans="1:1" ht="12.5" x14ac:dyDescent="0.25">
      <c r="A768" s="9"/>
    </row>
    <row r="769" spans="1:1" ht="12.5" x14ac:dyDescent="0.25">
      <c r="A769" s="9"/>
    </row>
    <row r="770" spans="1:1" ht="12.5" x14ac:dyDescent="0.25">
      <c r="A770" s="9"/>
    </row>
    <row r="771" spans="1:1" ht="12.5" x14ac:dyDescent="0.25">
      <c r="A771" s="9"/>
    </row>
    <row r="772" spans="1:1" ht="12.5" x14ac:dyDescent="0.25">
      <c r="A772" s="9"/>
    </row>
    <row r="773" spans="1:1" ht="12.5" x14ac:dyDescent="0.25">
      <c r="A773" s="9"/>
    </row>
    <row r="774" spans="1:1" ht="12.5" x14ac:dyDescent="0.25">
      <c r="A774" s="9"/>
    </row>
    <row r="775" spans="1:1" ht="12.5" x14ac:dyDescent="0.25">
      <c r="A775" s="9"/>
    </row>
    <row r="776" spans="1:1" ht="12.5" x14ac:dyDescent="0.25">
      <c r="A776" s="9"/>
    </row>
    <row r="777" spans="1:1" ht="12.5" x14ac:dyDescent="0.25">
      <c r="A777" s="9"/>
    </row>
    <row r="778" spans="1:1" ht="12.5" x14ac:dyDescent="0.25">
      <c r="A778" s="9"/>
    </row>
    <row r="779" spans="1:1" ht="12.5" x14ac:dyDescent="0.25">
      <c r="A779" s="9"/>
    </row>
    <row r="780" spans="1:1" ht="12.5" x14ac:dyDescent="0.25">
      <c r="A780" s="9"/>
    </row>
    <row r="781" spans="1:1" ht="12.5" x14ac:dyDescent="0.25">
      <c r="A781" s="9"/>
    </row>
    <row r="782" spans="1:1" ht="12.5" x14ac:dyDescent="0.25">
      <c r="A782" s="9"/>
    </row>
    <row r="783" spans="1:1" ht="12.5" x14ac:dyDescent="0.25">
      <c r="A783" s="9"/>
    </row>
    <row r="784" spans="1:1" ht="12.5" x14ac:dyDescent="0.25">
      <c r="A784" s="9"/>
    </row>
    <row r="785" spans="1:1" ht="12.5" x14ac:dyDescent="0.25">
      <c r="A785" s="9"/>
    </row>
    <row r="786" spans="1:1" ht="12.5" x14ac:dyDescent="0.25">
      <c r="A786" s="9"/>
    </row>
    <row r="787" spans="1:1" ht="12.5" x14ac:dyDescent="0.25">
      <c r="A787" s="9"/>
    </row>
    <row r="788" spans="1:1" ht="12.5" x14ac:dyDescent="0.25">
      <c r="A788" s="9"/>
    </row>
    <row r="789" spans="1:1" ht="12.5" x14ac:dyDescent="0.25">
      <c r="A789" s="9"/>
    </row>
    <row r="790" spans="1:1" ht="12.5" x14ac:dyDescent="0.25">
      <c r="A790" s="9"/>
    </row>
    <row r="791" spans="1:1" ht="12.5" x14ac:dyDescent="0.25">
      <c r="A791" s="9"/>
    </row>
    <row r="792" spans="1:1" ht="12.5" x14ac:dyDescent="0.25">
      <c r="A792" s="9"/>
    </row>
    <row r="793" spans="1:1" ht="12.5" x14ac:dyDescent="0.25">
      <c r="A793" s="9"/>
    </row>
    <row r="794" spans="1:1" ht="12.5" x14ac:dyDescent="0.25">
      <c r="A794" s="9"/>
    </row>
    <row r="795" spans="1:1" ht="12.5" x14ac:dyDescent="0.25">
      <c r="A795" s="9"/>
    </row>
    <row r="796" spans="1:1" ht="12.5" x14ac:dyDescent="0.25">
      <c r="A796" s="9"/>
    </row>
    <row r="797" spans="1:1" ht="12.5" x14ac:dyDescent="0.25">
      <c r="A797" s="9"/>
    </row>
    <row r="798" spans="1:1" ht="12.5" x14ac:dyDescent="0.25">
      <c r="A798" s="9"/>
    </row>
    <row r="799" spans="1:1" ht="12.5" x14ac:dyDescent="0.25">
      <c r="A799" s="9"/>
    </row>
    <row r="800" spans="1:1" ht="12.5" x14ac:dyDescent="0.25">
      <c r="A800" s="9"/>
    </row>
    <row r="801" spans="1:1" ht="12.5" x14ac:dyDescent="0.25">
      <c r="A801" s="9"/>
    </row>
    <row r="802" spans="1:1" ht="12.5" x14ac:dyDescent="0.25">
      <c r="A802" s="9"/>
    </row>
    <row r="803" spans="1:1" ht="12.5" x14ac:dyDescent="0.25">
      <c r="A803" s="9"/>
    </row>
    <row r="804" spans="1:1" ht="12.5" x14ac:dyDescent="0.25">
      <c r="A804" s="9"/>
    </row>
    <row r="805" spans="1:1" ht="12.5" x14ac:dyDescent="0.25">
      <c r="A805" s="9"/>
    </row>
    <row r="806" spans="1:1" ht="12.5" x14ac:dyDescent="0.25">
      <c r="A806" s="9"/>
    </row>
    <row r="807" spans="1:1" ht="12.5" x14ac:dyDescent="0.25">
      <c r="A807" s="9"/>
    </row>
    <row r="808" spans="1:1" ht="12.5" x14ac:dyDescent="0.25">
      <c r="A808" s="9"/>
    </row>
    <row r="809" spans="1:1" ht="12.5" x14ac:dyDescent="0.25">
      <c r="A809" s="9"/>
    </row>
    <row r="810" spans="1:1" ht="12.5" x14ac:dyDescent="0.25">
      <c r="A810" s="9"/>
    </row>
    <row r="811" spans="1:1" ht="12.5" x14ac:dyDescent="0.25">
      <c r="A811" s="9"/>
    </row>
    <row r="812" spans="1:1" ht="12.5" x14ac:dyDescent="0.25">
      <c r="A812" s="9"/>
    </row>
    <row r="813" spans="1:1" ht="12.5" x14ac:dyDescent="0.25">
      <c r="A813" s="9"/>
    </row>
    <row r="814" spans="1:1" ht="12.5" x14ac:dyDescent="0.25">
      <c r="A814" s="9"/>
    </row>
    <row r="815" spans="1:1" ht="12.5" x14ac:dyDescent="0.25">
      <c r="A815" s="9"/>
    </row>
    <row r="816" spans="1:1" ht="12.5" x14ac:dyDescent="0.25">
      <c r="A816" s="9"/>
    </row>
    <row r="817" spans="1:1" ht="12.5" x14ac:dyDescent="0.25">
      <c r="A817" s="9"/>
    </row>
    <row r="818" spans="1:1" ht="12.5" x14ac:dyDescent="0.25">
      <c r="A818" s="9"/>
    </row>
    <row r="819" spans="1:1" ht="12.5" x14ac:dyDescent="0.25">
      <c r="A819" s="9"/>
    </row>
    <row r="820" spans="1:1" ht="12.5" x14ac:dyDescent="0.25">
      <c r="A820" s="9"/>
    </row>
    <row r="821" spans="1:1" ht="12.5" x14ac:dyDescent="0.25">
      <c r="A821" s="9"/>
    </row>
    <row r="822" spans="1:1" ht="12.5" x14ac:dyDescent="0.25">
      <c r="A822" s="9"/>
    </row>
    <row r="823" spans="1:1" ht="12.5" x14ac:dyDescent="0.25">
      <c r="A823" s="9"/>
    </row>
    <row r="824" spans="1:1" ht="12.5" x14ac:dyDescent="0.25">
      <c r="A824" s="9"/>
    </row>
    <row r="825" spans="1:1" ht="12.5" x14ac:dyDescent="0.25">
      <c r="A825" s="9"/>
    </row>
    <row r="826" spans="1:1" ht="12.5" x14ac:dyDescent="0.25">
      <c r="A826" s="9"/>
    </row>
    <row r="827" spans="1:1" ht="12.5" x14ac:dyDescent="0.25">
      <c r="A827" s="9"/>
    </row>
    <row r="828" spans="1:1" ht="12.5" x14ac:dyDescent="0.25">
      <c r="A828" s="9"/>
    </row>
    <row r="829" spans="1:1" ht="12.5" x14ac:dyDescent="0.25">
      <c r="A829" s="9"/>
    </row>
    <row r="830" spans="1:1" ht="12.5" x14ac:dyDescent="0.25">
      <c r="A830" s="9"/>
    </row>
    <row r="831" spans="1:1" ht="12.5" x14ac:dyDescent="0.25">
      <c r="A831" s="9"/>
    </row>
    <row r="832" spans="1:1" ht="12.5" x14ac:dyDescent="0.25">
      <c r="A832" s="9"/>
    </row>
    <row r="833" spans="1:1" ht="12.5" x14ac:dyDescent="0.25">
      <c r="A833" s="9"/>
    </row>
    <row r="834" spans="1:1" ht="12.5" x14ac:dyDescent="0.25">
      <c r="A834" s="9"/>
    </row>
    <row r="835" spans="1:1" ht="12.5" x14ac:dyDescent="0.25">
      <c r="A835" s="9"/>
    </row>
    <row r="836" spans="1:1" ht="12.5" x14ac:dyDescent="0.25">
      <c r="A836" s="9"/>
    </row>
    <row r="837" spans="1:1" ht="12.5" x14ac:dyDescent="0.25">
      <c r="A837" s="9"/>
    </row>
    <row r="838" spans="1:1" ht="12.5" x14ac:dyDescent="0.25">
      <c r="A838" s="9"/>
    </row>
    <row r="839" spans="1:1" ht="12.5" x14ac:dyDescent="0.25">
      <c r="A839" s="9"/>
    </row>
    <row r="840" spans="1:1" ht="12.5" x14ac:dyDescent="0.25">
      <c r="A840" s="9"/>
    </row>
    <row r="841" spans="1:1" ht="12.5" x14ac:dyDescent="0.25">
      <c r="A841" s="9"/>
    </row>
    <row r="842" spans="1:1" ht="12.5" x14ac:dyDescent="0.25">
      <c r="A842" s="9"/>
    </row>
    <row r="843" spans="1:1" ht="12.5" x14ac:dyDescent="0.25">
      <c r="A843" s="9"/>
    </row>
    <row r="844" spans="1:1" ht="12.5" x14ac:dyDescent="0.25">
      <c r="A844" s="9"/>
    </row>
    <row r="845" spans="1:1" ht="12.5" x14ac:dyDescent="0.25">
      <c r="A845" s="9"/>
    </row>
    <row r="846" spans="1:1" ht="12.5" x14ac:dyDescent="0.25">
      <c r="A846" s="9"/>
    </row>
    <row r="847" spans="1:1" ht="12.5" x14ac:dyDescent="0.25">
      <c r="A847" s="9"/>
    </row>
    <row r="848" spans="1:1" ht="12.5" x14ac:dyDescent="0.25">
      <c r="A848" s="9"/>
    </row>
    <row r="849" spans="1:1" ht="12.5" x14ac:dyDescent="0.25">
      <c r="A849" s="9"/>
    </row>
    <row r="850" spans="1:1" ht="12.5" x14ac:dyDescent="0.25">
      <c r="A850" s="9"/>
    </row>
    <row r="851" spans="1:1" ht="12.5" x14ac:dyDescent="0.25">
      <c r="A851" s="9"/>
    </row>
    <row r="852" spans="1:1" ht="12.5" x14ac:dyDescent="0.25">
      <c r="A852" s="9"/>
    </row>
    <row r="853" spans="1:1" ht="12.5" x14ac:dyDescent="0.25">
      <c r="A853" s="9"/>
    </row>
    <row r="854" spans="1:1" ht="12.5" x14ac:dyDescent="0.25">
      <c r="A854" s="9"/>
    </row>
    <row r="855" spans="1:1" ht="12.5" x14ac:dyDescent="0.25">
      <c r="A855" s="9"/>
    </row>
    <row r="856" spans="1:1" ht="12.5" x14ac:dyDescent="0.25">
      <c r="A856" s="9"/>
    </row>
    <row r="857" spans="1:1" ht="12.5" x14ac:dyDescent="0.25">
      <c r="A857" s="9"/>
    </row>
    <row r="858" spans="1:1" ht="12.5" x14ac:dyDescent="0.25">
      <c r="A858" s="9"/>
    </row>
    <row r="859" spans="1:1" ht="12.5" x14ac:dyDescent="0.25">
      <c r="A859" s="9"/>
    </row>
    <row r="860" spans="1:1" ht="12.5" x14ac:dyDescent="0.25">
      <c r="A860" s="9"/>
    </row>
    <row r="861" spans="1:1" ht="12.5" x14ac:dyDescent="0.25">
      <c r="A861" s="9"/>
    </row>
    <row r="862" spans="1:1" ht="12.5" x14ac:dyDescent="0.25">
      <c r="A862" s="9"/>
    </row>
    <row r="863" spans="1:1" ht="12.5" x14ac:dyDescent="0.25">
      <c r="A863" s="9"/>
    </row>
    <row r="864" spans="1:1" ht="12.5" x14ac:dyDescent="0.25">
      <c r="A864" s="9"/>
    </row>
    <row r="865" spans="1:1" ht="12.5" x14ac:dyDescent="0.25">
      <c r="A865" s="9"/>
    </row>
    <row r="866" spans="1:1" ht="12.5" x14ac:dyDescent="0.25">
      <c r="A866" s="9"/>
    </row>
    <row r="867" spans="1:1" ht="12.5" x14ac:dyDescent="0.25">
      <c r="A867" s="9"/>
    </row>
    <row r="868" spans="1:1" ht="12.5" x14ac:dyDescent="0.25">
      <c r="A868" s="9"/>
    </row>
    <row r="869" spans="1:1" ht="12.5" x14ac:dyDescent="0.25">
      <c r="A869" s="9"/>
    </row>
    <row r="870" spans="1:1" ht="12.5" x14ac:dyDescent="0.25">
      <c r="A870" s="9"/>
    </row>
    <row r="871" spans="1:1" ht="12.5" x14ac:dyDescent="0.25">
      <c r="A871" s="9"/>
    </row>
    <row r="872" spans="1:1" ht="12.5" x14ac:dyDescent="0.25">
      <c r="A872" s="9"/>
    </row>
    <row r="873" spans="1:1" ht="12.5" x14ac:dyDescent="0.25">
      <c r="A873" s="9"/>
    </row>
    <row r="874" spans="1:1" ht="12.5" x14ac:dyDescent="0.25">
      <c r="A874" s="9"/>
    </row>
    <row r="875" spans="1:1" ht="12.5" x14ac:dyDescent="0.25">
      <c r="A875" s="9"/>
    </row>
    <row r="876" spans="1:1" ht="12.5" x14ac:dyDescent="0.25">
      <c r="A876" s="9"/>
    </row>
    <row r="877" spans="1:1" ht="12.5" x14ac:dyDescent="0.25">
      <c r="A877" s="9"/>
    </row>
    <row r="878" spans="1:1" ht="12.5" x14ac:dyDescent="0.25">
      <c r="A878" s="9"/>
    </row>
    <row r="879" spans="1:1" ht="12.5" x14ac:dyDescent="0.25">
      <c r="A879" s="9"/>
    </row>
    <row r="880" spans="1:1" ht="12.5" x14ac:dyDescent="0.25">
      <c r="A880" s="9"/>
    </row>
    <row r="881" spans="1:1" ht="12.5" x14ac:dyDescent="0.25">
      <c r="A881" s="9"/>
    </row>
    <row r="882" spans="1:1" ht="12.5" x14ac:dyDescent="0.25">
      <c r="A882" s="9"/>
    </row>
    <row r="883" spans="1:1" ht="12.5" x14ac:dyDescent="0.25">
      <c r="A883" s="9"/>
    </row>
    <row r="884" spans="1:1" ht="12.5" x14ac:dyDescent="0.25">
      <c r="A884" s="9"/>
    </row>
    <row r="885" spans="1:1" ht="12.5" x14ac:dyDescent="0.25">
      <c r="A885" s="9"/>
    </row>
    <row r="886" spans="1:1" ht="12.5" x14ac:dyDescent="0.25">
      <c r="A886" s="9"/>
    </row>
    <row r="887" spans="1:1" ht="12.5" x14ac:dyDescent="0.25">
      <c r="A887" s="9"/>
    </row>
    <row r="888" spans="1:1" ht="12.5" x14ac:dyDescent="0.25">
      <c r="A888" s="9"/>
    </row>
    <row r="889" spans="1:1" ht="12.5" x14ac:dyDescent="0.25">
      <c r="A889" s="9"/>
    </row>
    <row r="890" spans="1:1" ht="12.5" x14ac:dyDescent="0.25">
      <c r="A890" s="9"/>
    </row>
    <row r="891" spans="1:1" ht="12.5" x14ac:dyDescent="0.25">
      <c r="A891" s="9"/>
    </row>
    <row r="892" spans="1:1" ht="12.5" x14ac:dyDescent="0.25">
      <c r="A892" s="9"/>
    </row>
    <row r="893" spans="1:1" ht="12.5" x14ac:dyDescent="0.25">
      <c r="A893" s="9"/>
    </row>
    <row r="894" spans="1:1" ht="12.5" x14ac:dyDescent="0.25">
      <c r="A894" s="9"/>
    </row>
    <row r="895" spans="1:1" ht="12.5" x14ac:dyDescent="0.25">
      <c r="A895" s="9"/>
    </row>
    <row r="896" spans="1:1" ht="12.5" x14ac:dyDescent="0.25">
      <c r="A896" s="9"/>
    </row>
    <row r="897" spans="1:1" ht="12.5" x14ac:dyDescent="0.25">
      <c r="A897" s="9"/>
    </row>
    <row r="898" spans="1:1" ht="12.5" x14ac:dyDescent="0.25">
      <c r="A898" s="9"/>
    </row>
    <row r="899" spans="1:1" ht="12.5" x14ac:dyDescent="0.25">
      <c r="A899" s="9"/>
    </row>
    <row r="900" spans="1:1" ht="12.5" x14ac:dyDescent="0.25">
      <c r="A900" s="9"/>
    </row>
    <row r="901" spans="1:1" ht="12.5" x14ac:dyDescent="0.25">
      <c r="A901" s="9"/>
    </row>
    <row r="902" spans="1:1" ht="12.5" x14ac:dyDescent="0.25">
      <c r="A902" s="9"/>
    </row>
    <row r="903" spans="1:1" ht="12.5" x14ac:dyDescent="0.25">
      <c r="A903" s="9"/>
    </row>
    <row r="904" spans="1:1" ht="12.5" x14ac:dyDescent="0.25">
      <c r="A904" s="9"/>
    </row>
    <row r="905" spans="1:1" ht="12.5" x14ac:dyDescent="0.25">
      <c r="A905" s="9"/>
    </row>
    <row r="906" spans="1:1" ht="12.5" x14ac:dyDescent="0.25">
      <c r="A906" s="9"/>
    </row>
    <row r="907" spans="1:1" ht="12.5" x14ac:dyDescent="0.25">
      <c r="A907" s="9"/>
    </row>
    <row r="908" spans="1:1" ht="12.5" x14ac:dyDescent="0.25">
      <c r="A908" s="9"/>
    </row>
    <row r="909" spans="1:1" ht="12.5" x14ac:dyDescent="0.25">
      <c r="A909" s="9"/>
    </row>
    <row r="910" spans="1:1" ht="12.5" x14ac:dyDescent="0.25">
      <c r="A910" s="9"/>
    </row>
    <row r="911" spans="1:1" ht="12.5" x14ac:dyDescent="0.25">
      <c r="A911" s="9"/>
    </row>
    <row r="912" spans="1:1" ht="12.5" x14ac:dyDescent="0.25">
      <c r="A912" s="9"/>
    </row>
    <row r="913" spans="1:1" ht="12.5" x14ac:dyDescent="0.25">
      <c r="A913" s="9"/>
    </row>
    <row r="914" spans="1:1" ht="12.5" x14ac:dyDescent="0.25">
      <c r="A914" s="9"/>
    </row>
    <row r="915" spans="1:1" ht="12.5" x14ac:dyDescent="0.25">
      <c r="A915" s="9"/>
    </row>
    <row r="916" spans="1:1" ht="12.5" x14ac:dyDescent="0.25">
      <c r="A916" s="9"/>
    </row>
    <row r="917" spans="1:1" ht="12.5" x14ac:dyDescent="0.25">
      <c r="A917" s="9"/>
    </row>
    <row r="918" spans="1:1" ht="12.5" x14ac:dyDescent="0.25">
      <c r="A918" s="9"/>
    </row>
    <row r="919" spans="1:1" ht="12.5" x14ac:dyDescent="0.25">
      <c r="A919" s="9"/>
    </row>
    <row r="920" spans="1:1" ht="12.5" x14ac:dyDescent="0.25">
      <c r="A920" s="9"/>
    </row>
    <row r="921" spans="1:1" ht="12.5" x14ac:dyDescent="0.25">
      <c r="A921" s="9"/>
    </row>
    <row r="922" spans="1:1" ht="12.5" x14ac:dyDescent="0.25">
      <c r="A922" s="9"/>
    </row>
    <row r="923" spans="1:1" ht="12.5" x14ac:dyDescent="0.25">
      <c r="A923" s="9"/>
    </row>
    <row r="924" spans="1:1" ht="12.5" x14ac:dyDescent="0.25">
      <c r="A924" s="9"/>
    </row>
    <row r="925" spans="1:1" ht="12.5" x14ac:dyDescent="0.25">
      <c r="A925" s="9"/>
    </row>
    <row r="926" spans="1:1" ht="12.5" x14ac:dyDescent="0.25">
      <c r="A926" s="9"/>
    </row>
    <row r="927" spans="1:1" ht="12.5" x14ac:dyDescent="0.25">
      <c r="A927" s="9"/>
    </row>
    <row r="928" spans="1:1" ht="12.5" x14ac:dyDescent="0.25">
      <c r="A928" s="9"/>
    </row>
    <row r="929" spans="1:1" ht="12.5" x14ac:dyDescent="0.25">
      <c r="A929" s="9"/>
    </row>
    <row r="930" spans="1:1" ht="12.5" x14ac:dyDescent="0.25">
      <c r="A930" s="9"/>
    </row>
    <row r="931" spans="1:1" ht="12.5" x14ac:dyDescent="0.25">
      <c r="A931" s="9"/>
    </row>
    <row r="932" spans="1:1" ht="12.5" x14ac:dyDescent="0.25">
      <c r="A932" s="9"/>
    </row>
    <row r="933" spans="1:1" ht="12.5" x14ac:dyDescent="0.25">
      <c r="A933" s="9"/>
    </row>
    <row r="934" spans="1:1" ht="12.5" x14ac:dyDescent="0.25">
      <c r="A934" s="9"/>
    </row>
    <row r="935" spans="1:1" ht="12.5" x14ac:dyDescent="0.25">
      <c r="A935" s="9"/>
    </row>
    <row r="936" spans="1:1" ht="12.5" x14ac:dyDescent="0.25">
      <c r="A936" s="9"/>
    </row>
    <row r="937" spans="1:1" ht="12.5" x14ac:dyDescent="0.25">
      <c r="A937" s="9"/>
    </row>
    <row r="938" spans="1:1" ht="12.5" x14ac:dyDescent="0.25">
      <c r="A938" s="9"/>
    </row>
    <row r="939" spans="1:1" ht="12.5" x14ac:dyDescent="0.25">
      <c r="A939" s="9"/>
    </row>
    <row r="940" spans="1:1" ht="12.5" x14ac:dyDescent="0.25">
      <c r="A940" s="9"/>
    </row>
    <row r="941" spans="1:1" ht="12.5" x14ac:dyDescent="0.25">
      <c r="A941" s="9"/>
    </row>
    <row r="942" spans="1:1" ht="12.5" x14ac:dyDescent="0.25">
      <c r="A942" s="9"/>
    </row>
    <row r="943" spans="1:1" ht="12.5" x14ac:dyDescent="0.25">
      <c r="A943" s="9"/>
    </row>
    <row r="944" spans="1:1" ht="12.5" x14ac:dyDescent="0.25">
      <c r="A944" s="9"/>
    </row>
    <row r="945" spans="1:1" ht="12.5" x14ac:dyDescent="0.25">
      <c r="A945" s="9"/>
    </row>
    <row r="946" spans="1:1" ht="12.5" x14ac:dyDescent="0.25">
      <c r="A946" s="9"/>
    </row>
    <row r="947" spans="1:1" ht="12.5" x14ac:dyDescent="0.25">
      <c r="A947" s="9"/>
    </row>
    <row r="948" spans="1:1" ht="12.5" x14ac:dyDescent="0.25">
      <c r="A948" s="9"/>
    </row>
    <row r="949" spans="1:1" ht="12.5" x14ac:dyDescent="0.25">
      <c r="A949" s="9"/>
    </row>
    <row r="950" spans="1:1" ht="12.5" x14ac:dyDescent="0.25">
      <c r="A950" s="9"/>
    </row>
    <row r="951" spans="1:1" ht="12.5" x14ac:dyDescent="0.25">
      <c r="A951" s="9"/>
    </row>
    <row r="952" spans="1:1" ht="12.5" x14ac:dyDescent="0.25">
      <c r="A952" s="9"/>
    </row>
    <row r="953" spans="1:1" ht="12.5" x14ac:dyDescent="0.25">
      <c r="A953" s="9"/>
    </row>
    <row r="954" spans="1:1" ht="12.5" x14ac:dyDescent="0.25">
      <c r="A954" s="9"/>
    </row>
    <row r="955" spans="1:1" ht="12.5" x14ac:dyDescent="0.25">
      <c r="A955" s="9"/>
    </row>
    <row r="956" spans="1:1" ht="12.5" x14ac:dyDescent="0.25">
      <c r="A956" s="9"/>
    </row>
    <row r="957" spans="1:1" ht="12.5" x14ac:dyDescent="0.25">
      <c r="A957" s="9"/>
    </row>
    <row r="958" spans="1:1" ht="12.5" x14ac:dyDescent="0.25">
      <c r="A958" s="9"/>
    </row>
    <row r="959" spans="1:1" ht="12.5" x14ac:dyDescent="0.25">
      <c r="A959" s="9"/>
    </row>
    <row r="960" spans="1:1" ht="12.5" x14ac:dyDescent="0.25">
      <c r="A960" s="9"/>
    </row>
    <row r="961" spans="1:1" ht="12.5" x14ac:dyDescent="0.25">
      <c r="A961" s="9"/>
    </row>
    <row r="962" spans="1:1" ht="12.5" x14ac:dyDescent="0.25">
      <c r="A962" s="9"/>
    </row>
    <row r="963" spans="1:1" ht="12.5" x14ac:dyDescent="0.25">
      <c r="A963" s="9"/>
    </row>
    <row r="964" spans="1:1" ht="12.5" x14ac:dyDescent="0.25">
      <c r="A964" s="9"/>
    </row>
    <row r="965" spans="1:1" ht="12.5" x14ac:dyDescent="0.25">
      <c r="A965" s="9"/>
    </row>
    <row r="966" spans="1:1" ht="12.5" x14ac:dyDescent="0.25">
      <c r="A966" s="9"/>
    </row>
    <row r="967" spans="1:1" ht="12.5" x14ac:dyDescent="0.25">
      <c r="A967" s="9"/>
    </row>
    <row r="968" spans="1:1" ht="12.5" x14ac:dyDescent="0.25">
      <c r="A968" s="9"/>
    </row>
    <row r="969" spans="1:1" ht="12.5" x14ac:dyDescent="0.25">
      <c r="A969" s="9"/>
    </row>
    <row r="970" spans="1:1" ht="12.5" x14ac:dyDescent="0.25">
      <c r="A970" s="9"/>
    </row>
    <row r="971" spans="1:1" ht="12.5" x14ac:dyDescent="0.25">
      <c r="A971" s="9"/>
    </row>
    <row r="972" spans="1:1" ht="12.5" x14ac:dyDescent="0.25">
      <c r="A972" s="9"/>
    </row>
    <row r="973" spans="1:1" ht="12.5" x14ac:dyDescent="0.25">
      <c r="A973" s="9"/>
    </row>
    <row r="974" spans="1:1" ht="12.5" x14ac:dyDescent="0.25">
      <c r="A974" s="9"/>
    </row>
    <row r="975" spans="1:1" ht="12.5" x14ac:dyDescent="0.25">
      <c r="A975" s="9"/>
    </row>
    <row r="976" spans="1:1" ht="12.5" x14ac:dyDescent="0.25">
      <c r="A976" s="9"/>
    </row>
    <row r="977" spans="1:1" ht="12.5" x14ac:dyDescent="0.25">
      <c r="A977" s="9"/>
    </row>
    <row r="978" spans="1:1" ht="12.5" x14ac:dyDescent="0.25">
      <c r="A978" s="9"/>
    </row>
    <row r="979" spans="1:1" ht="12.5" x14ac:dyDescent="0.25">
      <c r="A979" s="9"/>
    </row>
    <row r="980" spans="1:1" ht="12.5" x14ac:dyDescent="0.25">
      <c r="A980" s="9"/>
    </row>
    <row r="981" spans="1:1" ht="12.5" x14ac:dyDescent="0.25">
      <c r="A981" s="9"/>
    </row>
    <row r="982" spans="1:1" ht="12.5" x14ac:dyDescent="0.25">
      <c r="A982" s="9"/>
    </row>
    <row r="983" spans="1:1" ht="12.5" x14ac:dyDescent="0.25">
      <c r="A983" s="9"/>
    </row>
    <row r="984" spans="1:1" ht="12.5" x14ac:dyDescent="0.25">
      <c r="A984" s="9"/>
    </row>
    <row r="985" spans="1:1" ht="12.5" x14ac:dyDescent="0.25">
      <c r="A985" s="9"/>
    </row>
    <row r="986" spans="1:1" ht="12.5" x14ac:dyDescent="0.25">
      <c r="A986" s="9"/>
    </row>
    <row r="987" spans="1:1" ht="12.5" x14ac:dyDescent="0.25">
      <c r="A987" s="9"/>
    </row>
    <row r="988" spans="1:1" ht="12.5" x14ac:dyDescent="0.25">
      <c r="A988" s="9"/>
    </row>
    <row r="989" spans="1:1" ht="12.5" x14ac:dyDescent="0.25">
      <c r="A989" s="9"/>
    </row>
    <row r="990" spans="1:1" ht="12.5" x14ac:dyDescent="0.25">
      <c r="A990" s="9"/>
    </row>
    <row r="991" spans="1:1" ht="12.5" x14ac:dyDescent="0.25">
      <c r="A991" s="9"/>
    </row>
    <row r="992" spans="1:1" ht="12.5" x14ac:dyDescent="0.25">
      <c r="A992" s="9"/>
    </row>
    <row r="993" spans="1:1" ht="12.5" x14ac:dyDescent="0.25">
      <c r="A993" s="9"/>
    </row>
    <row r="994" spans="1:1" ht="12.5" x14ac:dyDescent="0.25">
      <c r="A994" s="9"/>
    </row>
    <row r="995" spans="1:1" ht="12.5" x14ac:dyDescent="0.25">
      <c r="A995" s="9"/>
    </row>
    <row r="996" spans="1:1" ht="12.5" x14ac:dyDescent="0.25">
      <c r="A996" s="9"/>
    </row>
    <row r="997" spans="1:1" ht="12.5" x14ac:dyDescent="0.25">
      <c r="A997" s="9"/>
    </row>
  </sheetData>
  <hyperlinks>
    <hyperlink ref="A4" r:id="rId1" xr:uid="{00000000-0004-0000-0100-000000000000}"/>
    <hyperlink ref="A10" location="Tables personnalisées !A1" display="Etape 1- Visualiser les tables personnalisées et les modifier pour plus de personnalisation" xr:uid="{00000000-0004-0000-0100-000001000000}"/>
    <hyperlink ref="A12" location="Etablir la grille interne!A1" display="Extraire les données de votre logiciel de paie en suivant les colonnes indiquées (A à J) dans Etablir la grille interne. " xr:uid="{00000000-0004-0000-0100-000002000000}"/>
    <hyperlink ref="A17" location="Grille des salaires!A1" display="Etape 3- Visualiser vos grilles par poste ou par secteur en fonction des rémunérations de référence et les rémunérations brutes. " xr:uid="{00000000-0004-0000-0100-000003000000}"/>
    <hyperlink ref="A18" location="Bench externe des salaires!A1" display="Etape 4- Vérifier la cohérence des salaires en fonction du benchmark" xr:uid="{00000000-0004-0000-0100-000004000000}"/>
    <hyperlink ref="A19" location="Suivi de la grille!A1" display="Etape 5- Réaliser une revue des salaires" xr:uid="{00000000-0004-0000-0100-000005000000}"/>
    <hyperlink ref="A21" location="Calculateur interne de rémunéra!A1" display="Votre système de rémunération est cohérent. Lors de vos embauches n'oubliez pas le simulateur de rémunération." xr:uid="{00000000-0004-0000-0100-000006000000}"/>
  </hyperlinks>
  <pageMargins left="0.7" right="0.7" top="0.75" bottom="0.75" header="0.3" footer="0.3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2"/>
  <sheetViews>
    <sheetView showGridLines="0" workbookViewId="0"/>
  </sheetViews>
  <sheetFormatPr baseColWidth="10" defaultColWidth="12.6328125" defaultRowHeight="15.75" customHeight="1" x14ac:dyDescent="0.25"/>
  <cols>
    <col min="2" max="2" width="22.453125" customWidth="1"/>
    <col min="3" max="3" width="47.453125" customWidth="1"/>
    <col min="4" max="4" width="14.453125" customWidth="1"/>
  </cols>
  <sheetData>
    <row r="1" spans="1:4" ht="15.75" customHeight="1" x14ac:dyDescent="0.25">
      <c r="A1" s="19"/>
      <c r="B1" s="19"/>
      <c r="C1" s="19"/>
      <c r="D1" s="19"/>
    </row>
    <row r="2" spans="1:4" ht="15.75" customHeight="1" x14ac:dyDescent="0.25">
      <c r="A2" s="19"/>
      <c r="B2" s="19"/>
      <c r="C2" s="19"/>
      <c r="D2" s="19"/>
    </row>
    <row r="3" spans="1:4" ht="15.75" customHeight="1" x14ac:dyDescent="0.25">
      <c r="A3" s="19"/>
      <c r="B3" s="19"/>
      <c r="C3" s="19"/>
      <c r="D3" s="19"/>
    </row>
    <row r="4" spans="1:4" ht="15.75" customHeight="1" x14ac:dyDescent="0.35">
      <c r="A4" s="20" t="s">
        <v>0</v>
      </c>
      <c r="B4" s="19"/>
      <c r="C4" s="19"/>
      <c r="D4" s="19"/>
    </row>
    <row r="5" spans="1:4" ht="15.75" customHeight="1" x14ac:dyDescent="0.25">
      <c r="A5" s="66" t="s">
        <v>28</v>
      </c>
      <c r="B5" s="67"/>
      <c r="C5" s="67"/>
      <c r="D5" s="67"/>
    </row>
    <row r="6" spans="1:4" ht="15.75" customHeight="1" x14ac:dyDescent="0.25">
      <c r="C6" s="9"/>
    </row>
    <row r="7" spans="1:4" ht="15.75" customHeight="1" x14ac:dyDescent="0.35">
      <c r="A7" s="68" t="s">
        <v>29</v>
      </c>
      <c r="B7" s="67"/>
      <c r="C7" s="67"/>
      <c r="D7" s="67"/>
    </row>
    <row r="8" spans="1:4" ht="15.75" customHeight="1" x14ac:dyDescent="0.25">
      <c r="A8" s="21" t="s">
        <v>30</v>
      </c>
      <c r="B8" s="21" t="s">
        <v>31</v>
      </c>
      <c r="C8" s="22" t="s">
        <v>32</v>
      </c>
      <c r="D8" s="21" t="s">
        <v>33</v>
      </c>
    </row>
    <row r="9" spans="1:4" ht="15.75" customHeight="1" x14ac:dyDescent="0.25">
      <c r="A9" s="23" t="s">
        <v>34</v>
      </c>
      <c r="B9" s="23" t="s">
        <v>35</v>
      </c>
      <c r="C9" s="24" t="s">
        <v>36</v>
      </c>
      <c r="D9" s="25">
        <v>0</v>
      </c>
    </row>
    <row r="10" spans="1:4" ht="15.75" customHeight="1" x14ac:dyDescent="0.25">
      <c r="A10" s="26" t="s">
        <v>37</v>
      </c>
      <c r="B10" s="26" t="s">
        <v>38</v>
      </c>
      <c r="C10" s="27" t="s">
        <v>39</v>
      </c>
      <c r="D10" s="28">
        <v>2000</v>
      </c>
    </row>
    <row r="11" spans="1:4" ht="15.75" customHeight="1" x14ac:dyDescent="0.25">
      <c r="A11" s="23" t="s">
        <v>40</v>
      </c>
      <c r="B11" s="23" t="s">
        <v>41</v>
      </c>
      <c r="C11" s="24" t="s">
        <v>42</v>
      </c>
      <c r="D11" s="25">
        <v>4000</v>
      </c>
    </row>
    <row r="12" spans="1:4" ht="15.75" customHeight="1" x14ac:dyDescent="0.25">
      <c r="A12" s="26" t="s">
        <v>43</v>
      </c>
      <c r="B12" s="26" t="s">
        <v>44</v>
      </c>
      <c r="C12" s="27" t="s">
        <v>45</v>
      </c>
      <c r="D12" s="28">
        <v>6000</v>
      </c>
    </row>
    <row r="13" spans="1:4" ht="15.75" customHeight="1" x14ac:dyDescent="0.25">
      <c r="A13" s="23" t="s">
        <v>46</v>
      </c>
      <c r="B13" s="23" t="s">
        <v>47</v>
      </c>
      <c r="C13" s="24" t="s">
        <v>48</v>
      </c>
      <c r="D13" s="25">
        <v>8000</v>
      </c>
    </row>
    <row r="14" spans="1:4" ht="15.75" customHeight="1" x14ac:dyDescent="0.25">
      <c r="A14" s="26" t="s">
        <v>49</v>
      </c>
      <c r="B14" s="26" t="s">
        <v>50</v>
      </c>
      <c r="C14" s="27" t="s">
        <v>51</v>
      </c>
      <c r="D14" s="28">
        <v>10000</v>
      </c>
    </row>
    <row r="15" spans="1:4" ht="15.75" customHeight="1" x14ac:dyDescent="0.25">
      <c r="C15" s="9"/>
    </row>
    <row r="16" spans="1:4" ht="15.75" customHeight="1" x14ac:dyDescent="0.25">
      <c r="C16" s="9"/>
    </row>
    <row r="17" spans="1:4" ht="15.75" customHeight="1" x14ac:dyDescent="0.35">
      <c r="A17" s="68" t="s">
        <v>52</v>
      </c>
      <c r="B17" s="67"/>
      <c r="C17" s="67"/>
      <c r="D17" s="67"/>
    </row>
    <row r="18" spans="1:4" ht="15.75" customHeight="1" x14ac:dyDescent="0.25">
      <c r="A18" s="21" t="s">
        <v>30</v>
      </c>
      <c r="B18" s="21" t="s">
        <v>31</v>
      </c>
      <c r="C18" s="21" t="s">
        <v>53</v>
      </c>
      <c r="D18" s="21" t="s">
        <v>54</v>
      </c>
    </row>
    <row r="19" spans="1:4" ht="15.75" customHeight="1" x14ac:dyDescent="0.25">
      <c r="A19" s="23" t="s">
        <v>34</v>
      </c>
      <c r="B19" s="29" t="s">
        <v>55</v>
      </c>
      <c r="C19" s="24" t="s">
        <v>56</v>
      </c>
      <c r="D19" s="23">
        <v>1</v>
      </c>
    </row>
    <row r="20" spans="1:4" ht="15.75" customHeight="1" x14ac:dyDescent="0.25">
      <c r="A20" s="26" t="s">
        <v>37</v>
      </c>
      <c r="B20" s="30" t="s">
        <v>57</v>
      </c>
      <c r="C20" s="27" t="s">
        <v>58</v>
      </c>
      <c r="D20" s="26">
        <v>1</v>
      </c>
    </row>
    <row r="21" spans="1:4" ht="15.75" customHeight="1" x14ac:dyDescent="0.25">
      <c r="A21" s="23" t="s">
        <v>40</v>
      </c>
      <c r="B21" s="29" t="s">
        <v>59</v>
      </c>
      <c r="C21" s="24" t="s">
        <v>60</v>
      </c>
      <c r="D21" s="23">
        <v>1.1000000000000001</v>
      </c>
    </row>
    <row r="22" spans="1:4" ht="15.75" customHeight="1" x14ac:dyDescent="0.25">
      <c r="A22" s="26" t="s">
        <v>43</v>
      </c>
      <c r="B22" s="30" t="s">
        <v>61</v>
      </c>
      <c r="C22" s="27" t="s">
        <v>62</v>
      </c>
      <c r="D22" s="26">
        <v>1.2</v>
      </c>
    </row>
    <row r="23" spans="1:4" ht="15.75" customHeight="1" x14ac:dyDescent="0.25">
      <c r="A23" s="23" t="s">
        <v>46</v>
      </c>
      <c r="B23" s="29" t="s">
        <v>63</v>
      </c>
      <c r="C23" s="24" t="s">
        <v>64</v>
      </c>
      <c r="D23" s="23">
        <v>1.3</v>
      </c>
    </row>
    <row r="24" spans="1:4" ht="15.75" customHeight="1" x14ac:dyDescent="0.25">
      <c r="A24" s="26" t="s">
        <v>49</v>
      </c>
      <c r="B24" s="30" t="s">
        <v>65</v>
      </c>
      <c r="C24" s="27" t="s">
        <v>66</v>
      </c>
      <c r="D24" s="26">
        <v>1.4</v>
      </c>
    </row>
    <row r="25" spans="1:4" ht="15.75" customHeight="1" x14ac:dyDescent="0.25">
      <c r="C25" s="9"/>
    </row>
    <row r="26" spans="1:4" ht="15.75" customHeight="1" x14ac:dyDescent="0.25">
      <c r="C26" s="9"/>
    </row>
    <row r="27" spans="1:4" ht="15.75" customHeight="1" x14ac:dyDescent="0.25">
      <c r="C27" s="9"/>
    </row>
    <row r="28" spans="1:4" ht="15.75" customHeight="1" x14ac:dyDescent="0.35">
      <c r="A28" s="68" t="s">
        <v>67</v>
      </c>
      <c r="B28" s="67"/>
      <c r="C28" s="67"/>
      <c r="D28" s="67"/>
    </row>
    <row r="29" spans="1:4" ht="15.75" customHeight="1" x14ac:dyDescent="0.25">
      <c r="A29" s="21" t="s">
        <v>30</v>
      </c>
      <c r="B29" s="21" t="s">
        <v>53</v>
      </c>
      <c r="C29" s="22"/>
      <c r="D29" s="21" t="s">
        <v>68</v>
      </c>
    </row>
    <row r="30" spans="1:4" ht="12.5" x14ac:dyDescent="0.25">
      <c r="A30" s="23" t="s">
        <v>34</v>
      </c>
      <c r="B30" s="23" t="s">
        <v>69</v>
      </c>
      <c r="C30" s="24"/>
      <c r="D30" s="25">
        <v>0</v>
      </c>
    </row>
    <row r="31" spans="1:4" ht="12.5" x14ac:dyDescent="0.25">
      <c r="A31" s="26" t="s">
        <v>37</v>
      </c>
      <c r="B31" s="26" t="s">
        <v>70</v>
      </c>
      <c r="C31" s="27"/>
      <c r="D31" s="28">
        <v>2000</v>
      </c>
    </row>
    <row r="32" spans="1:4" ht="12.5" x14ac:dyDescent="0.25">
      <c r="A32" s="23" t="s">
        <v>40</v>
      </c>
      <c r="B32" s="23" t="s">
        <v>71</v>
      </c>
      <c r="C32" s="24"/>
      <c r="D32" s="25">
        <v>4000</v>
      </c>
    </row>
    <row r="33" spans="1:4" ht="12.5" x14ac:dyDescent="0.25">
      <c r="A33" s="26" t="s">
        <v>43</v>
      </c>
      <c r="B33" s="26" t="s">
        <v>72</v>
      </c>
      <c r="C33" s="27"/>
      <c r="D33" s="28">
        <v>6000</v>
      </c>
    </row>
    <row r="34" spans="1:4" ht="12.5" x14ac:dyDescent="0.25">
      <c r="A34" s="23" t="s">
        <v>43</v>
      </c>
      <c r="B34" s="23" t="s">
        <v>73</v>
      </c>
      <c r="C34" s="24"/>
      <c r="D34" s="25">
        <v>9000</v>
      </c>
    </row>
    <row r="35" spans="1:4" ht="12.5" x14ac:dyDescent="0.25">
      <c r="A35" s="26" t="s">
        <v>46</v>
      </c>
      <c r="B35" s="26" t="s">
        <v>74</v>
      </c>
      <c r="C35" s="27"/>
      <c r="D35" s="28">
        <v>12000</v>
      </c>
    </row>
    <row r="36" spans="1:4" ht="12.5" x14ac:dyDescent="0.25">
      <c r="C36" s="9"/>
    </row>
    <row r="37" spans="1:4" ht="12.5" x14ac:dyDescent="0.25">
      <c r="C37" s="9"/>
    </row>
    <row r="38" spans="1:4" ht="12.5" x14ac:dyDescent="0.25">
      <c r="C38" s="9"/>
    </row>
    <row r="39" spans="1:4" ht="15.5" x14ac:dyDescent="0.35">
      <c r="A39" s="68" t="s">
        <v>75</v>
      </c>
      <c r="B39" s="67"/>
      <c r="C39" s="67"/>
      <c r="D39" s="67"/>
    </row>
    <row r="40" spans="1:4" ht="13" x14ac:dyDescent="0.25">
      <c r="A40" s="21" t="s">
        <v>76</v>
      </c>
      <c r="B40" s="21" t="s">
        <v>77</v>
      </c>
      <c r="C40" s="21" t="s">
        <v>53</v>
      </c>
      <c r="D40" s="21" t="s">
        <v>54</v>
      </c>
    </row>
    <row r="41" spans="1:4" ht="12.5" x14ac:dyDescent="0.25">
      <c r="A41" s="23" t="s">
        <v>78</v>
      </c>
      <c r="B41" s="29" t="s">
        <v>79</v>
      </c>
      <c r="C41" s="24"/>
      <c r="D41" s="23">
        <v>1.2</v>
      </c>
    </row>
    <row r="42" spans="1:4" ht="12.5" x14ac:dyDescent="0.25">
      <c r="A42" s="26" t="s">
        <v>80</v>
      </c>
      <c r="B42" s="30" t="s">
        <v>81</v>
      </c>
      <c r="C42" s="27"/>
      <c r="D42" s="26">
        <v>1</v>
      </c>
    </row>
    <row r="43" spans="1:4" ht="12.5" x14ac:dyDescent="0.25">
      <c r="A43" s="23" t="s">
        <v>82</v>
      </c>
      <c r="B43" s="29" t="s">
        <v>83</v>
      </c>
      <c r="C43" s="24"/>
      <c r="D43" s="23">
        <v>0.92</v>
      </c>
    </row>
    <row r="44" spans="1:4" ht="12.5" x14ac:dyDescent="0.25">
      <c r="A44" s="26" t="s">
        <v>84</v>
      </c>
      <c r="B44" s="30" t="s">
        <v>85</v>
      </c>
      <c r="C44" s="27"/>
      <c r="D44" s="26">
        <v>0.96</v>
      </c>
    </row>
    <row r="45" spans="1:4" ht="12.5" x14ac:dyDescent="0.25">
      <c r="A45" s="23" t="s">
        <v>86</v>
      </c>
      <c r="B45" s="29" t="s">
        <v>87</v>
      </c>
      <c r="C45" s="24"/>
      <c r="D45" s="23">
        <v>1.1000000000000001</v>
      </c>
    </row>
    <row r="46" spans="1:4" ht="12.5" x14ac:dyDescent="0.25">
      <c r="C46" s="9"/>
    </row>
    <row r="47" spans="1:4" ht="12.5" x14ac:dyDescent="0.25">
      <c r="C47" s="9"/>
    </row>
    <row r="48" spans="1:4" ht="13.5" x14ac:dyDescent="0.35">
      <c r="A48" s="69" t="s">
        <v>88</v>
      </c>
      <c r="B48" s="67"/>
      <c r="C48" s="67"/>
      <c r="D48" s="67"/>
    </row>
    <row r="49" spans="3:3" ht="12.5" x14ac:dyDescent="0.25">
      <c r="C49" s="9"/>
    </row>
    <row r="50" spans="3:3" ht="12.5" x14ac:dyDescent="0.25">
      <c r="C50" s="9"/>
    </row>
    <row r="51" spans="3:3" ht="12.5" x14ac:dyDescent="0.25">
      <c r="C51" s="9"/>
    </row>
    <row r="52" spans="3:3" ht="12.5" x14ac:dyDescent="0.25">
      <c r="C52" s="9"/>
    </row>
    <row r="53" spans="3:3" ht="12.5" x14ac:dyDescent="0.25">
      <c r="C53" s="9"/>
    </row>
    <row r="54" spans="3:3" ht="12.5" x14ac:dyDescent="0.25">
      <c r="C54" s="9"/>
    </row>
    <row r="55" spans="3:3" ht="12.5" x14ac:dyDescent="0.25">
      <c r="C55" s="9"/>
    </row>
    <row r="56" spans="3:3" ht="12.5" x14ac:dyDescent="0.25">
      <c r="C56" s="9"/>
    </row>
    <row r="57" spans="3:3" ht="12.5" x14ac:dyDescent="0.25">
      <c r="C57" s="9"/>
    </row>
    <row r="58" spans="3:3" ht="12.5" x14ac:dyDescent="0.25">
      <c r="C58" s="9"/>
    </row>
    <row r="59" spans="3:3" ht="12.5" x14ac:dyDescent="0.25">
      <c r="C59" s="9"/>
    </row>
    <row r="60" spans="3:3" ht="12.5" x14ac:dyDescent="0.25">
      <c r="C60" s="9"/>
    </row>
    <row r="61" spans="3:3" ht="12.5" x14ac:dyDescent="0.25">
      <c r="C61" s="9"/>
    </row>
    <row r="62" spans="3:3" ht="12.5" x14ac:dyDescent="0.25">
      <c r="C62" s="9"/>
    </row>
    <row r="63" spans="3:3" ht="12.5" x14ac:dyDescent="0.25">
      <c r="C63" s="9"/>
    </row>
    <row r="64" spans="3:3" ht="12.5" x14ac:dyDescent="0.25">
      <c r="C64" s="9"/>
    </row>
    <row r="65" spans="3:3" ht="12.5" x14ac:dyDescent="0.25">
      <c r="C65" s="9"/>
    </row>
    <row r="66" spans="3:3" ht="12.5" x14ac:dyDescent="0.25">
      <c r="C66" s="9"/>
    </row>
    <row r="67" spans="3:3" ht="12.5" x14ac:dyDescent="0.25">
      <c r="C67" s="9"/>
    </row>
    <row r="68" spans="3:3" ht="12.5" x14ac:dyDescent="0.25">
      <c r="C68" s="9"/>
    </row>
    <row r="69" spans="3:3" ht="12.5" x14ac:dyDescent="0.25">
      <c r="C69" s="9"/>
    </row>
    <row r="70" spans="3:3" ht="12.5" x14ac:dyDescent="0.25">
      <c r="C70" s="9"/>
    </row>
    <row r="71" spans="3:3" ht="12.5" x14ac:dyDescent="0.25">
      <c r="C71" s="9"/>
    </row>
    <row r="72" spans="3:3" ht="12.5" x14ac:dyDescent="0.25">
      <c r="C72" s="9"/>
    </row>
    <row r="73" spans="3:3" ht="12.5" x14ac:dyDescent="0.25">
      <c r="C73" s="9"/>
    </row>
    <row r="74" spans="3:3" ht="12.5" x14ac:dyDescent="0.25">
      <c r="C74" s="9"/>
    </row>
    <row r="75" spans="3:3" ht="12.5" x14ac:dyDescent="0.25">
      <c r="C75" s="9"/>
    </row>
    <row r="76" spans="3:3" ht="12.5" x14ac:dyDescent="0.25">
      <c r="C76" s="9"/>
    </row>
    <row r="77" spans="3:3" ht="12.5" x14ac:dyDescent="0.25">
      <c r="C77" s="9"/>
    </row>
    <row r="78" spans="3:3" ht="12.5" x14ac:dyDescent="0.25">
      <c r="C78" s="9"/>
    </row>
    <row r="79" spans="3:3" ht="12.5" x14ac:dyDescent="0.25">
      <c r="C79" s="9"/>
    </row>
    <row r="80" spans="3:3" ht="12.5" x14ac:dyDescent="0.25">
      <c r="C80" s="9"/>
    </row>
    <row r="81" spans="3:3" ht="12.5" x14ac:dyDescent="0.25">
      <c r="C81" s="9"/>
    </row>
    <row r="82" spans="3:3" ht="12.5" x14ac:dyDescent="0.25">
      <c r="C82" s="9"/>
    </row>
    <row r="83" spans="3:3" ht="12.5" x14ac:dyDescent="0.25">
      <c r="C83" s="9"/>
    </row>
    <row r="84" spans="3:3" ht="12.5" x14ac:dyDescent="0.25">
      <c r="C84" s="9"/>
    </row>
    <row r="85" spans="3:3" ht="12.5" x14ac:dyDescent="0.25">
      <c r="C85" s="9"/>
    </row>
    <row r="86" spans="3:3" ht="12.5" x14ac:dyDescent="0.25">
      <c r="C86" s="9"/>
    </row>
    <row r="87" spans="3:3" ht="12.5" x14ac:dyDescent="0.25">
      <c r="C87" s="9"/>
    </row>
    <row r="88" spans="3:3" ht="12.5" x14ac:dyDescent="0.25">
      <c r="C88" s="9"/>
    </row>
    <row r="89" spans="3:3" ht="12.5" x14ac:dyDescent="0.25">
      <c r="C89" s="9"/>
    </row>
    <row r="90" spans="3:3" ht="12.5" x14ac:dyDescent="0.25">
      <c r="C90" s="9"/>
    </row>
    <row r="91" spans="3:3" ht="12.5" x14ac:dyDescent="0.25">
      <c r="C91" s="9"/>
    </row>
    <row r="92" spans="3:3" ht="12.5" x14ac:dyDescent="0.25">
      <c r="C92" s="9"/>
    </row>
    <row r="93" spans="3:3" ht="12.5" x14ac:dyDescent="0.25">
      <c r="C93" s="9"/>
    </row>
    <row r="94" spans="3:3" ht="12.5" x14ac:dyDescent="0.25">
      <c r="C94" s="9"/>
    </row>
    <row r="95" spans="3:3" ht="12.5" x14ac:dyDescent="0.25">
      <c r="C95" s="9"/>
    </row>
    <row r="96" spans="3:3" ht="12.5" x14ac:dyDescent="0.25">
      <c r="C96" s="9"/>
    </row>
    <row r="97" spans="3:3" ht="12.5" x14ac:dyDescent="0.25">
      <c r="C97" s="9"/>
    </row>
    <row r="98" spans="3:3" ht="12.5" x14ac:dyDescent="0.25">
      <c r="C98" s="9"/>
    </row>
    <row r="99" spans="3:3" ht="12.5" x14ac:dyDescent="0.25">
      <c r="C99" s="9"/>
    </row>
    <row r="100" spans="3:3" ht="12.5" x14ac:dyDescent="0.25">
      <c r="C100" s="9"/>
    </row>
    <row r="101" spans="3:3" ht="12.5" x14ac:dyDescent="0.25">
      <c r="C101" s="9"/>
    </row>
    <row r="102" spans="3:3" ht="12.5" x14ac:dyDescent="0.25">
      <c r="C102" s="9"/>
    </row>
    <row r="103" spans="3:3" ht="12.5" x14ac:dyDescent="0.25">
      <c r="C103" s="9"/>
    </row>
    <row r="104" spans="3:3" ht="12.5" x14ac:dyDescent="0.25">
      <c r="C104" s="9"/>
    </row>
    <row r="105" spans="3:3" ht="12.5" x14ac:dyDescent="0.25">
      <c r="C105" s="9"/>
    </row>
    <row r="106" spans="3:3" ht="12.5" x14ac:dyDescent="0.25">
      <c r="C106" s="9"/>
    </row>
    <row r="107" spans="3:3" ht="12.5" x14ac:dyDescent="0.25">
      <c r="C107" s="9"/>
    </row>
    <row r="108" spans="3:3" ht="12.5" x14ac:dyDescent="0.25">
      <c r="C108" s="9"/>
    </row>
    <row r="109" spans="3:3" ht="12.5" x14ac:dyDescent="0.25">
      <c r="C109" s="9"/>
    </row>
    <row r="110" spans="3:3" ht="12.5" x14ac:dyDescent="0.25">
      <c r="C110" s="9"/>
    </row>
    <row r="111" spans="3:3" ht="12.5" x14ac:dyDescent="0.25">
      <c r="C111" s="9"/>
    </row>
    <row r="112" spans="3:3" ht="12.5" x14ac:dyDescent="0.25">
      <c r="C112" s="9"/>
    </row>
    <row r="113" spans="3:3" ht="12.5" x14ac:dyDescent="0.25">
      <c r="C113" s="9"/>
    </row>
    <row r="114" spans="3:3" ht="12.5" x14ac:dyDescent="0.25">
      <c r="C114" s="9"/>
    </row>
    <row r="115" spans="3:3" ht="12.5" x14ac:dyDescent="0.25">
      <c r="C115" s="9"/>
    </row>
    <row r="116" spans="3:3" ht="12.5" x14ac:dyDescent="0.25">
      <c r="C116" s="9"/>
    </row>
    <row r="117" spans="3:3" ht="12.5" x14ac:dyDescent="0.25">
      <c r="C117" s="9"/>
    </row>
    <row r="118" spans="3:3" ht="12.5" x14ac:dyDescent="0.25">
      <c r="C118" s="9"/>
    </row>
    <row r="119" spans="3:3" ht="12.5" x14ac:dyDescent="0.25">
      <c r="C119" s="9"/>
    </row>
    <row r="120" spans="3:3" ht="12.5" x14ac:dyDescent="0.25">
      <c r="C120" s="9"/>
    </row>
    <row r="121" spans="3:3" ht="12.5" x14ac:dyDescent="0.25">
      <c r="C121" s="9"/>
    </row>
    <row r="122" spans="3:3" ht="12.5" x14ac:dyDescent="0.25">
      <c r="C122" s="9"/>
    </row>
    <row r="123" spans="3:3" ht="12.5" x14ac:dyDescent="0.25">
      <c r="C123" s="9"/>
    </row>
    <row r="124" spans="3:3" ht="12.5" x14ac:dyDescent="0.25">
      <c r="C124" s="9"/>
    </row>
    <row r="125" spans="3:3" ht="12.5" x14ac:dyDescent="0.25">
      <c r="C125" s="9"/>
    </row>
    <row r="126" spans="3:3" ht="12.5" x14ac:dyDescent="0.25">
      <c r="C126" s="9"/>
    </row>
    <row r="127" spans="3:3" ht="12.5" x14ac:dyDescent="0.25">
      <c r="C127" s="9"/>
    </row>
    <row r="128" spans="3:3" ht="12.5" x14ac:dyDescent="0.25">
      <c r="C128" s="9"/>
    </row>
    <row r="129" spans="3:3" ht="12.5" x14ac:dyDescent="0.25">
      <c r="C129" s="9"/>
    </row>
    <row r="130" spans="3:3" ht="12.5" x14ac:dyDescent="0.25">
      <c r="C130" s="9"/>
    </row>
    <row r="131" spans="3:3" ht="12.5" x14ac:dyDescent="0.25">
      <c r="C131" s="9"/>
    </row>
    <row r="132" spans="3:3" ht="12.5" x14ac:dyDescent="0.25">
      <c r="C132" s="9"/>
    </row>
    <row r="133" spans="3:3" ht="12.5" x14ac:dyDescent="0.25">
      <c r="C133" s="9"/>
    </row>
    <row r="134" spans="3:3" ht="12.5" x14ac:dyDescent="0.25">
      <c r="C134" s="9"/>
    </row>
    <row r="135" spans="3:3" ht="12.5" x14ac:dyDescent="0.25">
      <c r="C135" s="9"/>
    </row>
    <row r="136" spans="3:3" ht="12.5" x14ac:dyDescent="0.25">
      <c r="C136" s="9"/>
    </row>
    <row r="137" spans="3:3" ht="12.5" x14ac:dyDescent="0.25">
      <c r="C137" s="9"/>
    </row>
    <row r="138" spans="3:3" ht="12.5" x14ac:dyDescent="0.25">
      <c r="C138" s="9"/>
    </row>
    <row r="139" spans="3:3" ht="12.5" x14ac:dyDescent="0.25">
      <c r="C139" s="9"/>
    </row>
    <row r="140" spans="3:3" ht="12.5" x14ac:dyDescent="0.25">
      <c r="C140" s="9"/>
    </row>
    <row r="141" spans="3:3" ht="12.5" x14ac:dyDescent="0.25">
      <c r="C141" s="9"/>
    </row>
    <row r="142" spans="3:3" ht="12.5" x14ac:dyDescent="0.25">
      <c r="C142" s="9"/>
    </row>
    <row r="143" spans="3:3" ht="12.5" x14ac:dyDescent="0.25">
      <c r="C143" s="9"/>
    </row>
    <row r="144" spans="3:3" ht="12.5" x14ac:dyDescent="0.25">
      <c r="C144" s="9"/>
    </row>
    <row r="145" spans="3:3" ht="12.5" x14ac:dyDescent="0.25">
      <c r="C145" s="9"/>
    </row>
    <row r="146" spans="3:3" ht="12.5" x14ac:dyDescent="0.25">
      <c r="C146" s="9"/>
    </row>
    <row r="147" spans="3:3" ht="12.5" x14ac:dyDescent="0.25">
      <c r="C147" s="9"/>
    </row>
    <row r="148" spans="3:3" ht="12.5" x14ac:dyDescent="0.25">
      <c r="C148" s="9"/>
    </row>
    <row r="149" spans="3:3" ht="12.5" x14ac:dyDescent="0.25">
      <c r="C149" s="9"/>
    </row>
    <row r="150" spans="3:3" ht="12.5" x14ac:dyDescent="0.25">
      <c r="C150" s="9"/>
    </row>
    <row r="151" spans="3:3" ht="12.5" x14ac:dyDescent="0.25">
      <c r="C151" s="9"/>
    </row>
    <row r="152" spans="3:3" ht="12.5" x14ac:dyDescent="0.25">
      <c r="C152" s="9"/>
    </row>
    <row r="153" spans="3:3" ht="12.5" x14ac:dyDescent="0.25">
      <c r="C153" s="9"/>
    </row>
    <row r="154" spans="3:3" ht="12.5" x14ac:dyDescent="0.25">
      <c r="C154" s="9"/>
    </row>
    <row r="155" spans="3:3" ht="12.5" x14ac:dyDescent="0.25">
      <c r="C155" s="9"/>
    </row>
    <row r="156" spans="3:3" ht="12.5" x14ac:dyDescent="0.25">
      <c r="C156" s="9"/>
    </row>
    <row r="157" spans="3:3" ht="12.5" x14ac:dyDescent="0.25">
      <c r="C157" s="9"/>
    </row>
    <row r="158" spans="3:3" ht="12.5" x14ac:dyDescent="0.25">
      <c r="C158" s="9"/>
    </row>
    <row r="159" spans="3:3" ht="12.5" x14ac:dyDescent="0.25">
      <c r="C159" s="9"/>
    </row>
    <row r="160" spans="3:3" ht="12.5" x14ac:dyDescent="0.25">
      <c r="C160" s="9"/>
    </row>
    <row r="161" spans="3:3" ht="12.5" x14ac:dyDescent="0.25">
      <c r="C161" s="9"/>
    </row>
    <row r="162" spans="3:3" ht="12.5" x14ac:dyDescent="0.25">
      <c r="C162" s="9"/>
    </row>
    <row r="163" spans="3:3" ht="12.5" x14ac:dyDescent="0.25">
      <c r="C163" s="9"/>
    </row>
    <row r="164" spans="3:3" ht="12.5" x14ac:dyDescent="0.25">
      <c r="C164" s="9"/>
    </row>
    <row r="165" spans="3:3" ht="12.5" x14ac:dyDescent="0.25">
      <c r="C165" s="9"/>
    </row>
    <row r="166" spans="3:3" ht="12.5" x14ac:dyDescent="0.25">
      <c r="C166" s="9"/>
    </row>
    <row r="167" spans="3:3" ht="12.5" x14ac:dyDescent="0.25">
      <c r="C167" s="9"/>
    </row>
    <row r="168" spans="3:3" ht="12.5" x14ac:dyDescent="0.25">
      <c r="C168" s="9"/>
    </row>
    <row r="169" spans="3:3" ht="12.5" x14ac:dyDescent="0.25">
      <c r="C169" s="9"/>
    </row>
    <row r="170" spans="3:3" ht="12.5" x14ac:dyDescent="0.25">
      <c r="C170" s="9"/>
    </row>
    <row r="171" spans="3:3" ht="12.5" x14ac:dyDescent="0.25">
      <c r="C171" s="9"/>
    </row>
    <row r="172" spans="3:3" ht="12.5" x14ac:dyDescent="0.25">
      <c r="C172" s="9"/>
    </row>
    <row r="173" spans="3:3" ht="12.5" x14ac:dyDescent="0.25">
      <c r="C173" s="9"/>
    </row>
    <row r="174" spans="3:3" ht="12.5" x14ac:dyDescent="0.25">
      <c r="C174" s="9"/>
    </row>
    <row r="175" spans="3:3" ht="12.5" x14ac:dyDescent="0.25">
      <c r="C175" s="9"/>
    </row>
    <row r="176" spans="3:3" ht="12.5" x14ac:dyDescent="0.25">
      <c r="C176" s="9"/>
    </row>
    <row r="177" spans="3:3" ht="12.5" x14ac:dyDescent="0.25">
      <c r="C177" s="9"/>
    </row>
    <row r="178" spans="3:3" ht="12.5" x14ac:dyDescent="0.25">
      <c r="C178" s="9"/>
    </row>
    <row r="179" spans="3:3" ht="12.5" x14ac:dyDescent="0.25">
      <c r="C179" s="9"/>
    </row>
    <row r="180" spans="3:3" ht="12.5" x14ac:dyDescent="0.25">
      <c r="C180" s="9"/>
    </row>
    <row r="181" spans="3:3" ht="12.5" x14ac:dyDescent="0.25">
      <c r="C181" s="9"/>
    </row>
    <row r="182" spans="3:3" ht="12.5" x14ac:dyDescent="0.25">
      <c r="C182" s="9"/>
    </row>
    <row r="183" spans="3:3" ht="12.5" x14ac:dyDescent="0.25">
      <c r="C183" s="9"/>
    </row>
    <row r="184" spans="3:3" ht="12.5" x14ac:dyDescent="0.25">
      <c r="C184" s="9"/>
    </row>
    <row r="185" spans="3:3" ht="12.5" x14ac:dyDescent="0.25">
      <c r="C185" s="9"/>
    </row>
    <row r="186" spans="3:3" ht="12.5" x14ac:dyDescent="0.25">
      <c r="C186" s="9"/>
    </row>
    <row r="187" spans="3:3" ht="12.5" x14ac:dyDescent="0.25">
      <c r="C187" s="9"/>
    </row>
    <row r="188" spans="3:3" ht="12.5" x14ac:dyDescent="0.25">
      <c r="C188" s="9"/>
    </row>
    <row r="189" spans="3:3" ht="12.5" x14ac:dyDescent="0.25">
      <c r="C189" s="9"/>
    </row>
    <row r="190" spans="3:3" ht="12.5" x14ac:dyDescent="0.25">
      <c r="C190" s="9"/>
    </row>
    <row r="191" spans="3:3" ht="12.5" x14ac:dyDescent="0.25">
      <c r="C191" s="9"/>
    </row>
    <row r="192" spans="3:3" ht="12.5" x14ac:dyDescent="0.25">
      <c r="C192" s="9"/>
    </row>
    <row r="193" spans="3:3" ht="12.5" x14ac:dyDescent="0.25">
      <c r="C193" s="9"/>
    </row>
    <row r="194" spans="3:3" ht="12.5" x14ac:dyDescent="0.25">
      <c r="C194" s="9"/>
    </row>
    <row r="195" spans="3:3" ht="12.5" x14ac:dyDescent="0.25">
      <c r="C195" s="9"/>
    </row>
    <row r="196" spans="3:3" ht="12.5" x14ac:dyDescent="0.25">
      <c r="C196" s="9"/>
    </row>
    <row r="197" spans="3:3" ht="12.5" x14ac:dyDescent="0.25">
      <c r="C197" s="9"/>
    </row>
    <row r="198" spans="3:3" ht="12.5" x14ac:dyDescent="0.25">
      <c r="C198" s="9"/>
    </row>
    <row r="199" spans="3:3" ht="12.5" x14ac:dyDescent="0.25">
      <c r="C199" s="9"/>
    </row>
    <row r="200" spans="3:3" ht="12.5" x14ac:dyDescent="0.25">
      <c r="C200" s="9"/>
    </row>
    <row r="201" spans="3:3" ht="12.5" x14ac:dyDescent="0.25">
      <c r="C201" s="9"/>
    </row>
    <row r="202" spans="3:3" ht="12.5" x14ac:dyDescent="0.25">
      <c r="C202" s="9"/>
    </row>
    <row r="203" spans="3:3" ht="12.5" x14ac:dyDescent="0.25">
      <c r="C203" s="9"/>
    </row>
    <row r="204" spans="3:3" ht="12.5" x14ac:dyDescent="0.25">
      <c r="C204" s="9"/>
    </row>
    <row r="205" spans="3:3" ht="12.5" x14ac:dyDescent="0.25">
      <c r="C205" s="9"/>
    </row>
    <row r="206" spans="3:3" ht="12.5" x14ac:dyDescent="0.25">
      <c r="C206" s="9"/>
    </row>
    <row r="207" spans="3:3" ht="12.5" x14ac:dyDescent="0.25">
      <c r="C207" s="9"/>
    </row>
    <row r="208" spans="3:3" ht="12.5" x14ac:dyDescent="0.25">
      <c r="C208" s="9"/>
    </row>
    <row r="209" spans="3:3" ht="12.5" x14ac:dyDescent="0.25">
      <c r="C209" s="9"/>
    </row>
    <row r="210" spans="3:3" ht="12.5" x14ac:dyDescent="0.25">
      <c r="C210" s="9"/>
    </row>
    <row r="211" spans="3:3" ht="12.5" x14ac:dyDescent="0.25">
      <c r="C211" s="9"/>
    </row>
    <row r="212" spans="3:3" ht="12.5" x14ac:dyDescent="0.25">
      <c r="C212" s="9"/>
    </row>
    <row r="213" spans="3:3" ht="12.5" x14ac:dyDescent="0.25">
      <c r="C213" s="9"/>
    </row>
    <row r="214" spans="3:3" ht="12.5" x14ac:dyDescent="0.25">
      <c r="C214" s="9"/>
    </row>
    <row r="215" spans="3:3" ht="12.5" x14ac:dyDescent="0.25">
      <c r="C215" s="9"/>
    </row>
    <row r="216" spans="3:3" ht="12.5" x14ac:dyDescent="0.25">
      <c r="C216" s="9"/>
    </row>
    <row r="217" spans="3:3" ht="12.5" x14ac:dyDescent="0.25">
      <c r="C217" s="9"/>
    </row>
    <row r="218" spans="3:3" ht="12.5" x14ac:dyDescent="0.25">
      <c r="C218" s="9"/>
    </row>
    <row r="219" spans="3:3" ht="12.5" x14ac:dyDescent="0.25">
      <c r="C219" s="9"/>
    </row>
    <row r="220" spans="3:3" ht="12.5" x14ac:dyDescent="0.25">
      <c r="C220" s="9"/>
    </row>
    <row r="221" spans="3:3" ht="12.5" x14ac:dyDescent="0.25">
      <c r="C221" s="9"/>
    </row>
    <row r="222" spans="3:3" ht="12.5" x14ac:dyDescent="0.25">
      <c r="C222" s="9"/>
    </row>
    <row r="223" spans="3:3" ht="12.5" x14ac:dyDescent="0.25">
      <c r="C223" s="9"/>
    </row>
    <row r="224" spans="3:3" ht="12.5" x14ac:dyDescent="0.25">
      <c r="C224" s="9"/>
    </row>
    <row r="225" spans="3:3" ht="12.5" x14ac:dyDescent="0.25">
      <c r="C225" s="9"/>
    </row>
    <row r="226" spans="3:3" ht="12.5" x14ac:dyDescent="0.25">
      <c r="C226" s="9"/>
    </row>
    <row r="227" spans="3:3" ht="12.5" x14ac:dyDescent="0.25">
      <c r="C227" s="9"/>
    </row>
    <row r="228" spans="3:3" ht="12.5" x14ac:dyDescent="0.25">
      <c r="C228" s="9"/>
    </row>
    <row r="229" spans="3:3" ht="12.5" x14ac:dyDescent="0.25">
      <c r="C229" s="9"/>
    </row>
    <row r="230" spans="3:3" ht="12.5" x14ac:dyDescent="0.25">
      <c r="C230" s="9"/>
    </row>
    <row r="231" spans="3:3" ht="12.5" x14ac:dyDescent="0.25">
      <c r="C231" s="9"/>
    </row>
    <row r="232" spans="3:3" ht="12.5" x14ac:dyDescent="0.25">
      <c r="C232" s="9"/>
    </row>
    <row r="233" spans="3:3" ht="12.5" x14ac:dyDescent="0.25">
      <c r="C233" s="9"/>
    </row>
    <row r="234" spans="3:3" ht="12.5" x14ac:dyDescent="0.25">
      <c r="C234" s="9"/>
    </row>
    <row r="235" spans="3:3" ht="12.5" x14ac:dyDescent="0.25">
      <c r="C235" s="9"/>
    </row>
    <row r="236" spans="3:3" ht="12.5" x14ac:dyDescent="0.25">
      <c r="C236" s="9"/>
    </row>
    <row r="237" spans="3:3" ht="12.5" x14ac:dyDescent="0.25">
      <c r="C237" s="9"/>
    </row>
    <row r="238" spans="3:3" ht="12.5" x14ac:dyDescent="0.25">
      <c r="C238" s="9"/>
    </row>
    <row r="239" spans="3:3" ht="12.5" x14ac:dyDescent="0.25">
      <c r="C239" s="9"/>
    </row>
    <row r="240" spans="3:3" ht="12.5" x14ac:dyDescent="0.25">
      <c r="C240" s="9"/>
    </row>
    <row r="241" spans="3:3" ht="12.5" x14ac:dyDescent="0.25">
      <c r="C241" s="9"/>
    </row>
    <row r="242" spans="3:3" ht="12.5" x14ac:dyDescent="0.25">
      <c r="C242" s="9"/>
    </row>
    <row r="243" spans="3:3" ht="12.5" x14ac:dyDescent="0.25">
      <c r="C243" s="9"/>
    </row>
    <row r="244" spans="3:3" ht="12.5" x14ac:dyDescent="0.25">
      <c r="C244" s="9"/>
    </row>
    <row r="245" spans="3:3" ht="12.5" x14ac:dyDescent="0.25">
      <c r="C245" s="9"/>
    </row>
    <row r="246" spans="3:3" ht="12.5" x14ac:dyDescent="0.25">
      <c r="C246" s="9"/>
    </row>
    <row r="247" spans="3:3" ht="12.5" x14ac:dyDescent="0.25">
      <c r="C247" s="9"/>
    </row>
    <row r="248" spans="3:3" ht="12.5" x14ac:dyDescent="0.25">
      <c r="C248" s="9"/>
    </row>
    <row r="249" spans="3:3" ht="12.5" x14ac:dyDescent="0.25">
      <c r="C249" s="9"/>
    </row>
    <row r="250" spans="3:3" ht="12.5" x14ac:dyDescent="0.25">
      <c r="C250" s="9"/>
    </row>
    <row r="251" spans="3:3" ht="12.5" x14ac:dyDescent="0.25">
      <c r="C251" s="9"/>
    </row>
    <row r="252" spans="3:3" ht="12.5" x14ac:dyDescent="0.25">
      <c r="C252" s="9"/>
    </row>
    <row r="253" spans="3:3" ht="12.5" x14ac:dyDescent="0.25">
      <c r="C253" s="9"/>
    </row>
    <row r="254" spans="3:3" ht="12.5" x14ac:dyDescent="0.25">
      <c r="C254" s="9"/>
    </row>
    <row r="255" spans="3:3" ht="12.5" x14ac:dyDescent="0.25">
      <c r="C255" s="9"/>
    </row>
    <row r="256" spans="3:3" ht="12.5" x14ac:dyDescent="0.25">
      <c r="C256" s="9"/>
    </row>
    <row r="257" spans="3:3" ht="12.5" x14ac:dyDescent="0.25">
      <c r="C257" s="9"/>
    </row>
    <row r="258" spans="3:3" ht="12.5" x14ac:dyDescent="0.25">
      <c r="C258" s="9"/>
    </row>
    <row r="259" spans="3:3" ht="12.5" x14ac:dyDescent="0.25">
      <c r="C259" s="9"/>
    </row>
    <row r="260" spans="3:3" ht="12.5" x14ac:dyDescent="0.25">
      <c r="C260" s="9"/>
    </row>
    <row r="261" spans="3:3" ht="12.5" x14ac:dyDescent="0.25">
      <c r="C261" s="9"/>
    </row>
    <row r="262" spans="3:3" ht="12.5" x14ac:dyDescent="0.25">
      <c r="C262" s="9"/>
    </row>
    <row r="263" spans="3:3" ht="12.5" x14ac:dyDescent="0.25">
      <c r="C263" s="9"/>
    </row>
    <row r="264" spans="3:3" ht="12.5" x14ac:dyDescent="0.25">
      <c r="C264" s="9"/>
    </row>
    <row r="265" spans="3:3" ht="12.5" x14ac:dyDescent="0.25">
      <c r="C265" s="9"/>
    </row>
    <row r="266" spans="3:3" ht="12.5" x14ac:dyDescent="0.25">
      <c r="C266" s="9"/>
    </row>
    <row r="267" spans="3:3" ht="12.5" x14ac:dyDescent="0.25">
      <c r="C267" s="9"/>
    </row>
    <row r="268" spans="3:3" ht="12.5" x14ac:dyDescent="0.25">
      <c r="C268" s="9"/>
    </row>
    <row r="269" spans="3:3" ht="12.5" x14ac:dyDescent="0.25">
      <c r="C269" s="9"/>
    </row>
    <row r="270" spans="3:3" ht="12.5" x14ac:dyDescent="0.25">
      <c r="C270" s="9"/>
    </row>
    <row r="271" spans="3:3" ht="12.5" x14ac:dyDescent="0.25">
      <c r="C271" s="9"/>
    </row>
    <row r="272" spans="3:3" ht="12.5" x14ac:dyDescent="0.25">
      <c r="C272" s="9"/>
    </row>
    <row r="273" spans="3:3" ht="12.5" x14ac:dyDescent="0.25">
      <c r="C273" s="9"/>
    </row>
    <row r="274" spans="3:3" ht="12.5" x14ac:dyDescent="0.25">
      <c r="C274" s="9"/>
    </row>
    <row r="275" spans="3:3" ht="12.5" x14ac:dyDescent="0.25">
      <c r="C275" s="9"/>
    </row>
    <row r="276" spans="3:3" ht="12.5" x14ac:dyDescent="0.25">
      <c r="C276" s="9"/>
    </row>
    <row r="277" spans="3:3" ht="12.5" x14ac:dyDescent="0.25">
      <c r="C277" s="9"/>
    </row>
    <row r="278" spans="3:3" ht="12.5" x14ac:dyDescent="0.25">
      <c r="C278" s="9"/>
    </row>
    <row r="279" spans="3:3" ht="12.5" x14ac:dyDescent="0.25">
      <c r="C279" s="9"/>
    </row>
    <row r="280" spans="3:3" ht="12.5" x14ac:dyDescent="0.25">
      <c r="C280" s="9"/>
    </row>
    <row r="281" spans="3:3" ht="12.5" x14ac:dyDescent="0.25">
      <c r="C281" s="9"/>
    </row>
    <row r="282" spans="3:3" ht="12.5" x14ac:dyDescent="0.25">
      <c r="C282" s="9"/>
    </row>
    <row r="283" spans="3:3" ht="12.5" x14ac:dyDescent="0.25">
      <c r="C283" s="9"/>
    </row>
    <row r="284" spans="3:3" ht="12.5" x14ac:dyDescent="0.25">
      <c r="C284" s="9"/>
    </row>
    <row r="285" spans="3:3" ht="12.5" x14ac:dyDescent="0.25">
      <c r="C285" s="9"/>
    </row>
    <row r="286" spans="3:3" ht="12.5" x14ac:dyDescent="0.25">
      <c r="C286" s="9"/>
    </row>
    <row r="287" spans="3:3" ht="12.5" x14ac:dyDescent="0.25">
      <c r="C287" s="9"/>
    </row>
    <row r="288" spans="3:3" ht="12.5" x14ac:dyDescent="0.25">
      <c r="C288" s="9"/>
    </row>
    <row r="289" spans="3:3" ht="12.5" x14ac:dyDescent="0.25">
      <c r="C289" s="9"/>
    </row>
    <row r="290" spans="3:3" ht="12.5" x14ac:dyDescent="0.25">
      <c r="C290" s="9"/>
    </row>
    <row r="291" spans="3:3" ht="12.5" x14ac:dyDescent="0.25">
      <c r="C291" s="9"/>
    </row>
    <row r="292" spans="3:3" ht="12.5" x14ac:dyDescent="0.25">
      <c r="C292" s="9"/>
    </row>
    <row r="293" spans="3:3" ht="12.5" x14ac:dyDescent="0.25">
      <c r="C293" s="9"/>
    </row>
    <row r="294" spans="3:3" ht="12.5" x14ac:dyDescent="0.25">
      <c r="C294" s="9"/>
    </row>
    <row r="295" spans="3:3" ht="12.5" x14ac:dyDescent="0.25">
      <c r="C295" s="9"/>
    </row>
    <row r="296" spans="3:3" ht="12.5" x14ac:dyDescent="0.25">
      <c r="C296" s="9"/>
    </row>
    <row r="297" spans="3:3" ht="12.5" x14ac:dyDescent="0.25">
      <c r="C297" s="9"/>
    </row>
    <row r="298" spans="3:3" ht="12.5" x14ac:dyDescent="0.25">
      <c r="C298" s="9"/>
    </row>
    <row r="299" spans="3:3" ht="12.5" x14ac:dyDescent="0.25">
      <c r="C299" s="9"/>
    </row>
    <row r="300" spans="3:3" ht="12.5" x14ac:dyDescent="0.25">
      <c r="C300" s="9"/>
    </row>
    <row r="301" spans="3:3" ht="12.5" x14ac:dyDescent="0.25">
      <c r="C301" s="9"/>
    </row>
    <row r="302" spans="3:3" ht="12.5" x14ac:dyDescent="0.25">
      <c r="C302" s="9"/>
    </row>
    <row r="303" spans="3:3" ht="12.5" x14ac:dyDescent="0.25">
      <c r="C303" s="9"/>
    </row>
    <row r="304" spans="3:3" ht="12.5" x14ac:dyDescent="0.25">
      <c r="C304" s="9"/>
    </row>
    <row r="305" spans="3:3" ht="12.5" x14ac:dyDescent="0.25">
      <c r="C305" s="9"/>
    </row>
    <row r="306" spans="3:3" ht="12.5" x14ac:dyDescent="0.25">
      <c r="C306" s="9"/>
    </row>
    <row r="307" spans="3:3" ht="12.5" x14ac:dyDescent="0.25">
      <c r="C307" s="9"/>
    </row>
    <row r="308" spans="3:3" ht="12.5" x14ac:dyDescent="0.25">
      <c r="C308" s="9"/>
    </row>
    <row r="309" spans="3:3" ht="12.5" x14ac:dyDescent="0.25">
      <c r="C309" s="9"/>
    </row>
    <row r="310" spans="3:3" ht="12.5" x14ac:dyDescent="0.25">
      <c r="C310" s="9"/>
    </row>
    <row r="311" spans="3:3" ht="12.5" x14ac:dyDescent="0.25">
      <c r="C311" s="9"/>
    </row>
    <row r="312" spans="3:3" ht="12.5" x14ac:dyDescent="0.25">
      <c r="C312" s="9"/>
    </row>
    <row r="313" spans="3:3" ht="12.5" x14ac:dyDescent="0.25">
      <c r="C313" s="9"/>
    </row>
    <row r="314" spans="3:3" ht="12.5" x14ac:dyDescent="0.25">
      <c r="C314" s="9"/>
    </row>
    <row r="315" spans="3:3" ht="12.5" x14ac:dyDescent="0.25">
      <c r="C315" s="9"/>
    </row>
    <row r="316" spans="3:3" ht="12.5" x14ac:dyDescent="0.25">
      <c r="C316" s="9"/>
    </row>
    <row r="317" spans="3:3" ht="12.5" x14ac:dyDescent="0.25">
      <c r="C317" s="9"/>
    </row>
    <row r="318" spans="3:3" ht="12.5" x14ac:dyDescent="0.25">
      <c r="C318" s="9"/>
    </row>
    <row r="319" spans="3:3" ht="12.5" x14ac:dyDescent="0.25">
      <c r="C319" s="9"/>
    </row>
    <row r="320" spans="3:3" ht="12.5" x14ac:dyDescent="0.25">
      <c r="C320" s="9"/>
    </row>
    <row r="321" spans="3:3" ht="12.5" x14ac:dyDescent="0.25">
      <c r="C321" s="9"/>
    </row>
    <row r="322" spans="3:3" ht="12.5" x14ac:dyDescent="0.25">
      <c r="C322" s="9"/>
    </row>
    <row r="323" spans="3:3" ht="12.5" x14ac:dyDescent="0.25">
      <c r="C323" s="9"/>
    </row>
    <row r="324" spans="3:3" ht="12.5" x14ac:dyDescent="0.25">
      <c r="C324" s="9"/>
    </row>
    <row r="325" spans="3:3" ht="12.5" x14ac:dyDescent="0.25">
      <c r="C325" s="9"/>
    </row>
    <row r="326" spans="3:3" ht="12.5" x14ac:dyDescent="0.25">
      <c r="C326" s="9"/>
    </row>
    <row r="327" spans="3:3" ht="12.5" x14ac:dyDescent="0.25">
      <c r="C327" s="9"/>
    </row>
    <row r="328" spans="3:3" ht="12.5" x14ac:dyDescent="0.25">
      <c r="C328" s="9"/>
    </row>
    <row r="329" spans="3:3" ht="12.5" x14ac:dyDescent="0.25">
      <c r="C329" s="9"/>
    </row>
    <row r="330" spans="3:3" ht="12.5" x14ac:dyDescent="0.25">
      <c r="C330" s="9"/>
    </row>
    <row r="331" spans="3:3" ht="12.5" x14ac:dyDescent="0.25">
      <c r="C331" s="9"/>
    </row>
    <row r="332" spans="3:3" ht="12.5" x14ac:dyDescent="0.25">
      <c r="C332" s="9"/>
    </row>
    <row r="333" spans="3:3" ht="12.5" x14ac:dyDescent="0.25">
      <c r="C333" s="9"/>
    </row>
    <row r="334" spans="3:3" ht="12.5" x14ac:dyDescent="0.25">
      <c r="C334" s="9"/>
    </row>
    <row r="335" spans="3:3" ht="12.5" x14ac:dyDescent="0.25">
      <c r="C335" s="9"/>
    </row>
    <row r="336" spans="3:3" ht="12.5" x14ac:dyDescent="0.25">
      <c r="C336" s="9"/>
    </row>
    <row r="337" spans="3:3" ht="12.5" x14ac:dyDescent="0.25">
      <c r="C337" s="9"/>
    </row>
    <row r="338" spans="3:3" ht="12.5" x14ac:dyDescent="0.25">
      <c r="C338" s="9"/>
    </row>
    <row r="339" spans="3:3" ht="12.5" x14ac:dyDescent="0.25">
      <c r="C339" s="9"/>
    </row>
    <row r="340" spans="3:3" ht="12.5" x14ac:dyDescent="0.25">
      <c r="C340" s="9"/>
    </row>
    <row r="341" spans="3:3" ht="12.5" x14ac:dyDescent="0.25">
      <c r="C341" s="9"/>
    </row>
    <row r="342" spans="3:3" ht="12.5" x14ac:dyDescent="0.25">
      <c r="C342" s="9"/>
    </row>
    <row r="343" spans="3:3" ht="12.5" x14ac:dyDescent="0.25">
      <c r="C343" s="9"/>
    </row>
    <row r="344" spans="3:3" ht="12.5" x14ac:dyDescent="0.25">
      <c r="C344" s="9"/>
    </row>
    <row r="345" spans="3:3" ht="12.5" x14ac:dyDescent="0.25">
      <c r="C345" s="9"/>
    </row>
    <row r="346" spans="3:3" ht="12.5" x14ac:dyDescent="0.25">
      <c r="C346" s="9"/>
    </row>
    <row r="347" spans="3:3" ht="12.5" x14ac:dyDescent="0.25">
      <c r="C347" s="9"/>
    </row>
    <row r="348" spans="3:3" ht="12.5" x14ac:dyDescent="0.25">
      <c r="C348" s="9"/>
    </row>
    <row r="349" spans="3:3" ht="12.5" x14ac:dyDescent="0.25">
      <c r="C349" s="9"/>
    </row>
    <row r="350" spans="3:3" ht="12.5" x14ac:dyDescent="0.25">
      <c r="C350" s="9"/>
    </row>
    <row r="351" spans="3:3" ht="12.5" x14ac:dyDescent="0.25">
      <c r="C351" s="9"/>
    </row>
    <row r="352" spans="3:3" ht="12.5" x14ac:dyDescent="0.25">
      <c r="C352" s="9"/>
    </row>
    <row r="353" spans="3:3" ht="12.5" x14ac:dyDescent="0.25">
      <c r="C353" s="9"/>
    </row>
    <row r="354" spans="3:3" ht="12.5" x14ac:dyDescent="0.25">
      <c r="C354" s="9"/>
    </row>
    <row r="355" spans="3:3" ht="12.5" x14ac:dyDescent="0.25">
      <c r="C355" s="9"/>
    </row>
    <row r="356" spans="3:3" ht="12.5" x14ac:dyDescent="0.25">
      <c r="C356" s="9"/>
    </row>
    <row r="357" spans="3:3" ht="12.5" x14ac:dyDescent="0.25">
      <c r="C357" s="9"/>
    </row>
    <row r="358" spans="3:3" ht="12.5" x14ac:dyDescent="0.25">
      <c r="C358" s="9"/>
    </row>
    <row r="359" spans="3:3" ht="12.5" x14ac:dyDescent="0.25">
      <c r="C359" s="9"/>
    </row>
    <row r="360" spans="3:3" ht="12.5" x14ac:dyDescent="0.25">
      <c r="C360" s="9"/>
    </row>
    <row r="361" spans="3:3" ht="12.5" x14ac:dyDescent="0.25">
      <c r="C361" s="9"/>
    </row>
    <row r="362" spans="3:3" ht="12.5" x14ac:dyDescent="0.25">
      <c r="C362" s="9"/>
    </row>
    <row r="363" spans="3:3" ht="12.5" x14ac:dyDescent="0.25">
      <c r="C363" s="9"/>
    </row>
    <row r="364" spans="3:3" ht="12.5" x14ac:dyDescent="0.25">
      <c r="C364" s="9"/>
    </row>
    <row r="365" spans="3:3" ht="12.5" x14ac:dyDescent="0.25">
      <c r="C365" s="9"/>
    </row>
    <row r="366" spans="3:3" ht="12.5" x14ac:dyDescent="0.25">
      <c r="C366" s="9"/>
    </row>
    <row r="367" spans="3:3" ht="12.5" x14ac:dyDescent="0.25">
      <c r="C367" s="9"/>
    </row>
    <row r="368" spans="3:3" ht="12.5" x14ac:dyDescent="0.25">
      <c r="C368" s="9"/>
    </row>
    <row r="369" spans="3:3" ht="12.5" x14ac:dyDescent="0.25">
      <c r="C369" s="9"/>
    </row>
    <row r="370" spans="3:3" ht="12.5" x14ac:dyDescent="0.25">
      <c r="C370" s="9"/>
    </row>
    <row r="371" spans="3:3" ht="12.5" x14ac:dyDescent="0.25">
      <c r="C371" s="9"/>
    </row>
    <row r="372" spans="3:3" ht="12.5" x14ac:dyDescent="0.25">
      <c r="C372" s="9"/>
    </row>
    <row r="373" spans="3:3" ht="12.5" x14ac:dyDescent="0.25">
      <c r="C373" s="9"/>
    </row>
    <row r="374" spans="3:3" ht="12.5" x14ac:dyDescent="0.25">
      <c r="C374" s="9"/>
    </row>
    <row r="375" spans="3:3" ht="12.5" x14ac:dyDescent="0.25">
      <c r="C375" s="9"/>
    </row>
    <row r="376" spans="3:3" ht="12.5" x14ac:dyDescent="0.25">
      <c r="C376" s="9"/>
    </row>
    <row r="377" spans="3:3" ht="12.5" x14ac:dyDescent="0.25">
      <c r="C377" s="9"/>
    </row>
    <row r="378" spans="3:3" ht="12.5" x14ac:dyDescent="0.25">
      <c r="C378" s="9"/>
    </row>
    <row r="379" spans="3:3" ht="12.5" x14ac:dyDescent="0.25">
      <c r="C379" s="9"/>
    </row>
    <row r="380" spans="3:3" ht="12.5" x14ac:dyDescent="0.25">
      <c r="C380" s="9"/>
    </row>
    <row r="381" spans="3:3" ht="12.5" x14ac:dyDescent="0.25">
      <c r="C381" s="9"/>
    </row>
    <row r="382" spans="3:3" ht="12.5" x14ac:dyDescent="0.25">
      <c r="C382" s="9"/>
    </row>
    <row r="383" spans="3:3" ht="12.5" x14ac:dyDescent="0.25">
      <c r="C383" s="9"/>
    </row>
    <row r="384" spans="3:3" ht="12.5" x14ac:dyDescent="0.25">
      <c r="C384" s="9"/>
    </row>
    <row r="385" spans="3:3" ht="12.5" x14ac:dyDescent="0.25">
      <c r="C385" s="9"/>
    </row>
    <row r="386" spans="3:3" ht="12.5" x14ac:dyDescent="0.25">
      <c r="C386" s="9"/>
    </row>
    <row r="387" spans="3:3" ht="12.5" x14ac:dyDescent="0.25">
      <c r="C387" s="9"/>
    </row>
    <row r="388" spans="3:3" ht="12.5" x14ac:dyDescent="0.25">
      <c r="C388" s="9"/>
    </row>
    <row r="389" spans="3:3" ht="12.5" x14ac:dyDescent="0.25">
      <c r="C389" s="9"/>
    </row>
    <row r="390" spans="3:3" ht="12.5" x14ac:dyDescent="0.25">
      <c r="C390" s="9"/>
    </row>
    <row r="391" spans="3:3" ht="12.5" x14ac:dyDescent="0.25">
      <c r="C391" s="9"/>
    </row>
    <row r="392" spans="3:3" ht="12.5" x14ac:dyDescent="0.25">
      <c r="C392" s="9"/>
    </row>
    <row r="393" spans="3:3" ht="12.5" x14ac:dyDescent="0.25">
      <c r="C393" s="9"/>
    </row>
    <row r="394" spans="3:3" ht="12.5" x14ac:dyDescent="0.25">
      <c r="C394" s="9"/>
    </row>
    <row r="395" spans="3:3" ht="12.5" x14ac:dyDescent="0.25">
      <c r="C395" s="9"/>
    </row>
    <row r="396" spans="3:3" ht="12.5" x14ac:dyDescent="0.25">
      <c r="C396" s="9"/>
    </row>
    <row r="397" spans="3:3" ht="12.5" x14ac:dyDescent="0.25">
      <c r="C397" s="9"/>
    </row>
    <row r="398" spans="3:3" ht="12.5" x14ac:dyDescent="0.25">
      <c r="C398" s="9"/>
    </row>
    <row r="399" spans="3:3" ht="12.5" x14ac:dyDescent="0.25">
      <c r="C399" s="9"/>
    </row>
    <row r="400" spans="3:3" ht="12.5" x14ac:dyDescent="0.25">
      <c r="C400" s="9"/>
    </row>
    <row r="401" spans="3:3" ht="12.5" x14ac:dyDescent="0.25">
      <c r="C401" s="9"/>
    </row>
    <row r="402" spans="3:3" ht="12.5" x14ac:dyDescent="0.25">
      <c r="C402" s="9"/>
    </row>
    <row r="403" spans="3:3" ht="12.5" x14ac:dyDescent="0.25">
      <c r="C403" s="9"/>
    </row>
    <row r="404" spans="3:3" ht="12.5" x14ac:dyDescent="0.25">
      <c r="C404" s="9"/>
    </row>
    <row r="405" spans="3:3" ht="12.5" x14ac:dyDescent="0.25">
      <c r="C405" s="9"/>
    </row>
    <row r="406" spans="3:3" ht="12.5" x14ac:dyDescent="0.25">
      <c r="C406" s="9"/>
    </row>
    <row r="407" spans="3:3" ht="12.5" x14ac:dyDescent="0.25">
      <c r="C407" s="9"/>
    </row>
    <row r="408" spans="3:3" ht="12.5" x14ac:dyDescent="0.25">
      <c r="C408" s="9"/>
    </row>
    <row r="409" spans="3:3" ht="12.5" x14ac:dyDescent="0.25">
      <c r="C409" s="9"/>
    </row>
    <row r="410" spans="3:3" ht="12.5" x14ac:dyDescent="0.25">
      <c r="C410" s="9"/>
    </row>
    <row r="411" spans="3:3" ht="12.5" x14ac:dyDescent="0.25">
      <c r="C411" s="9"/>
    </row>
    <row r="412" spans="3:3" ht="12.5" x14ac:dyDescent="0.25">
      <c r="C412" s="9"/>
    </row>
    <row r="413" spans="3:3" ht="12.5" x14ac:dyDescent="0.25">
      <c r="C413" s="9"/>
    </row>
    <row r="414" spans="3:3" ht="12.5" x14ac:dyDescent="0.25">
      <c r="C414" s="9"/>
    </row>
    <row r="415" spans="3:3" ht="12.5" x14ac:dyDescent="0.25">
      <c r="C415" s="9"/>
    </row>
    <row r="416" spans="3:3" ht="12.5" x14ac:dyDescent="0.25">
      <c r="C416" s="9"/>
    </row>
    <row r="417" spans="3:3" ht="12.5" x14ac:dyDescent="0.25">
      <c r="C417" s="9"/>
    </row>
    <row r="418" spans="3:3" ht="12.5" x14ac:dyDescent="0.25">
      <c r="C418" s="9"/>
    </row>
    <row r="419" spans="3:3" ht="12.5" x14ac:dyDescent="0.25">
      <c r="C419" s="9"/>
    </row>
    <row r="420" spans="3:3" ht="12.5" x14ac:dyDescent="0.25">
      <c r="C420" s="9"/>
    </row>
    <row r="421" spans="3:3" ht="12.5" x14ac:dyDescent="0.25">
      <c r="C421" s="9"/>
    </row>
    <row r="422" spans="3:3" ht="12.5" x14ac:dyDescent="0.25">
      <c r="C422" s="9"/>
    </row>
    <row r="423" spans="3:3" ht="12.5" x14ac:dyDescent="0.25">
      <c r="C423" s="9"/>
    </row>
    <row r="424" spans="3:3" ht="12.5" x14ac:dyDescent="0.25">
      <c r="C424" s="9"/>
    </row>
    <row r="425" spans="3:3" ht="12.5" x14ac:dyDescent="0.25">
      <c r="C425" s="9"/>
    </row>
    <row r="426" spans="3:3" ht="12.5" x14ac:dyDescent="0.25">
      <c r="C426" s="9"/>
    </row>
    <row r="427" spans="3:3" ht="12.5" x14ac:dyDescent="0.25">
      <c r="C427" s="9"/>
    </row>
    <row r="428" spans="3:3" ht="12.5" x14ac:dyDescent="0.25">
      <c r="C428" s="9"/>
    </row>
    <row r="429" spans="3:3" ht="12.5" x14ac:dyDescent="0.25">
      <c r="C429" s="9"/>
    </row>
    <row r="430" spans="3:3" ht="12.5" x14ac:dyDescent="0.25">
      <c r="C430" s="9"/>
    </row>
    <row r="431" spans="3:3" ht="12.5" x14ac:dyDescent="0.25">
      <c r="C431" s="9"/>
    </row>
    <row r="432" spans="3:3" ht="12.5" x14ac:dyDescent="0.25">
      <c r="C432" s="9"/>
    </row>
    <row r="433" spans="3:3" ht="12.5" x14ac:dyDescent="0.25">
      <c r="C433" s="9"/>
    </row>
    <row r="434" spans="3:3" ht="12.5" x14ac:dyDescent="0.25">
      <c r="C434" s="9"/>
    </row>
    <row r="435" spans="3:3" ht="12.5" x14ac:dyDescent="0.25">
      <c r="C435" s="9"/>
    </row>
    <row r="436" spans="3:3" ht="12.5" x14ac:dyDescent="0.25">
      <c r="C436" s="9"/>
    </row>
    <row r="437" spans="3:3" ht="12.5" x14ac:dyDescent="0.25">
      <c r="C437" s="9"/>
    </row>
    <row r="438" spans="3:3" ht="12.5" x14ac:dyDescent="0.25">
      <c r="C438" s="9"/>
    </row>
    <row r="439" spans="3:3" ht="12.5" x14ac:dyDescent="0.25">
      <c r="C439" s="9"/>
    </row>
    <row r="440" spans="3:3" ht="12.5" x14ac:dyDescent="0.25">
      <c r="C440" s="9"/>
    </row>
    <row r="441" spans="3:3" ht="12.5" x14ac:dyDescent="0.25">
      <c r="C441" s="9"/>
    </row>
    <row r="442" spans="3:3" ht="12.5" x14ac:dyDescent="0.25">
      <c r="C442" s="9"/>
    </row>
    <row r="443" spans="3:3" ht="12.5" x14ac:dyDescent="0.25">
      <c r="C443" s="9"/>
    </row>
    <row r="444" spans="3:3" ht="12.5" x14ac:dyDescent="0.25">
      <c r="C444" s="9"/>
    </row>
    <row r="445" spans="3:3" ht="12.5" x14ac:dyDescent="0.25">
      <c r="C445" s="9"/>
    </row>
    <row r="446" spans="3:3" ht="12.5" x14ac:dyDescent="0.25">
      <c r="C446" s="9"/>
    </row>
    <row r="447" spans="3:3" ht="12.5" x14ac:dyDescent="0.25">
      <c r="C447" s="9"/>
    </row>
    <row r="448" spans="3:3" ht="12.5" x14ac:dyDescent="0.25">
      <c r="C448" s="9"/>
    </row>
    <row r="449" spans="3:3" ht="12.5" x14ac:dyDescent="0.25">
      <c r="C449" s="9"/>
    </row>
    <row r="450" spans="3:3" ht="12.5" x14ac:dyDescent="0.25">
      <c r="C450" s="9"/>
    </row>
    <row r="451" spans="3:3" ht="12.5" x14ac:dyDescent="0.25">
      <c r="C451" s="9"/>
    </row>
    <row r="452" spans="3:3" ht="12.5" x14ac:dyDescent="0.25">
      <c r="C452" s="9"/>
    </row>
    <row r="453" spans="3:3" ht="12.5" x14ac:dyDescent="0.25">
      <c r="C453" s="9"/>
    </row>
    <row r="454" spans="3:3" ht="12.5" x14ac:dyDescent="0.25">
      <c r="C454" s="9"/>
    </row>
    <row r="455" spans="3:3" ht="12.5" x14ac:dyDescent="0.25">
      <c r="C455" s="9"/>
    </row>
    <row r="456" spans="3:3" ht="12.5" x14ac:dyDescent="0.25">
      <c r="C456" s="9"/>
    </row>
    <row r="457" spans="3:3" ht="12.5" x14ac:dyDescent="0.25">
      <c r="C457" s="9"/>
    </row>
    <row r="458" spans="3:3" ht="12.5" x14ac:dyDescent="0.25">
      <c r="C458" s="9"/>
    </row>
    <row r="459" spans="3:3" ht="12.5" x14ac:dyDescent="0.25">
      <c r="C459" s="9"/>
    </row>
    <row r="460" spans="3:3" ht="12.5" x14ac:dyDescent="0.25">
      <c r="C460" s="9"/>
    </row>
    <row r="461" spans="3:3" ht="12.5" x14ac:dyDescent="0.25">
      <c r="C461" s="9"/>
    </row>
    <row r="462" spans="3:3" ht="12.5" x14ac:dyDescent="0.25">
      <c r="C462" s="9"/>
    </row>
    <row r="463" spans="3:3" ht="12.5" x14ac:dyDescent="0.25">
      <c r="C463" s="9"/>
    </row>
    <row r="464" spans="3:3" ht="12.5" x14ac:dyDescent="0.25">
      <c r="C464" s="9"/>
    </row>
    <row r="465" spans="3:3" ht="12.5" x14ac:dyDescent="0.25">
      <c r="C465" s="9"/>
    </row>
    <row r="466" spans="3:3" ht="12.5" x14ac:dyDescent="0.25">
      <c r="C466" s="9"/>
    </row>
    <row r="467" spans="3:3" ht="12.5" x14ac:dyDescent="0.25">
      <c r="C467" s="9"/>
    </row>
    <row r="468" spans="3:3" ht="12.5" x14ac:dyDescent="0.25">
      <c r="C468" s="9"/>
    </row>
    <row r="469" spans="3:3" ht="12.5" x14ac:dyDescent="0.25">
      <c r="C469" s="9"/>
    </row>
    <row r="470" spans="3:3" ht="12.5" x14ac:dyDescent="0.25">
      <c r="C470" s="9"/>
    </row>
    <row r="471" spans="3:3" ht="12.5" x14ac:dyDescent="0.25">
      <c r="C471" s="9"/>
    </row>
    <row r="472" spans="3:3" ht="12.5" x14ac:dyDescent="0.25">
      <c r="C472" s="9"/>
    </row>
    <row r="473" spans="3:3" ht="12.5" x14ac:dyDescent="0.25">
      <c r="C473" s="9"/>
    </row>
    <row r="474" spans="3:3" ht="12.5" x14ac:dyDescent="0.25">
      <c r="C474" s="9"/>
    </row>
    <row r="475" spans="3:3" ht="12.5" x14ac:dyDescent="0.25">
      <c r="C475" s="9"/>
    </row>
    <row r="476" spans="3:3" ht="12.5" x14ac:dyDescent="0.25">
      <c r="C476" s="9"/>
    </row>
    <row r="477" spans="3:3" ht="12.5" x14ac:dyDescent="0.25">
      <c r="C477" s="9"/>
    </row>
    <row r="478" spans="3:3" ht="12.5" x14ac:dyDescent="0.25">
      <c r="C478" s="9"/>
    </row>
    <row r="479" spans="3:3" ht="12.5" x14ac:dyDescent="0.25">
      <c r="C479" s="9"/>
    </row>
    <row r="480" spans="3:3" ht="12.5" x14ac:dyDescent="0.25">
      <c r="C480" s="9"/>
    </row>
    <row r="481" spans="3:3" ht="12.5" x14ac:dyDescent="0.25">
      <c r="C481" s="9"/>
    </row>
    <row r="482" spans="3:3" ht="12.5" x14ac:dyDescent="0.25">
      <c r="C482" s="9"/>
    </row>
    <row r="483" spans="3:3" ht="12.5" x14ac:dyDescent="0.25">
      <c r="C483" s="9"/>
    </row>
    <row r="484" spans="3:3" ht="12.5" x14ac:dyDescent="0.25">
      <c r="C484" s="9"/>
    </row>
    <row r="485" spans="3:3" ht="12.5" x14ac:dyDescent="0.25">
      <c r="C485" s="9"/>
    </row>
    <row r="486" spans="3:3" ht="12.5" x14ac:dyDescent="0.25">
      <c r="C486" s="9"/>
    </row>
    <row r="487" spans="3:3" ht="12.5" x14ac:dyDescent="0.25">
      <c r="C487" s="9"/>
    </row>
    <row r="488" spans="3:3" ht="12.5" x14ac:dyDescent="0.25">
      <c r="C488" s="9"/>
    </row>
    <row r="489" spans="3:3" ht="12.5" x14ac:dyDescent="0.25">
      <c r="C489" s="9"/>
    </row>
    <row r="490" spans="3:3" ht="12.5" x14ac:dyDescent="0.25">
      <c r="C490" s="9"/>
    </row>
    <row r="491" spans="3:3" ht="12.5" x14ac:dyDescent="0.25">
      <c r="C491" s="9"/>
    </row>
    <row r="492" spans="3:3" ht="12.5" x14ac:dyDescent="0.25">
      <c r="C492" s="9"/>
    </row>
    <row r="493" spans="3:3" ht="12.5" x14ac:dyDescent="0.25">
      <c r="C493" s="9"/>
    </row>
    <row r="494" spans="3:3" ht="12.5" x14ac:dyDescent="0.25">
      <c r="C494" s="9"/>
    </row>
    <row r="495" spans="3:3" ht="12.5" x14ac:dyDescent="0.25">
      <c r="C495" s="9"/>
    </row>
    <row r="496" spans="3:3" ht="12.5" x14ac:dyDescent="0.25">
      <c r="C496" s="9"/>
    </row>
    <row r="497" spans="3:3" ht="12.5" x14ac:dyDescent="0.25">
      <c r="C497" s="9"/>
    </row>
    <row r="498" spans="3:3" ht="12.5" x14ac:dyDescent="0.25">
      <c r="C498" s="9"/>
    </row>
    <row r="499" spans="3:3" ht="12.5" x14ac:dyDescent="0.25">
      <c r="C499" s="9"/>
    </row>
    <row r="500" spans="3:3" ht="12.5" x14ac:dyDescent="0.25">
      <c r="C500" s="9"/>
    </row>
    <row r="501" spans="3:3" ht="12.5" x14ac:dyDescent="0.25">
      <c r="C501" s="9"/>
    </row>
    <row r="502" spans="3:3" ht="12.5" x14ac:dyDescent="0.25">
      <c r="C502" s="9"/>
    </row>
    <row r="503" spans="3:3" ht="12.5" x14ac:dyDescent="0.25">
      <c r="C503" s="9"/>
    </row>
    <row r="504" spans="3:3" ht="12.5" x14ac:dyDescent="0.25">
      <c r="C504" s="9"/>
    </row>
    <row r="505" spans="3:3" ht="12.5" x14ac:dyDescent="0.25">
      <c r="C505" s="9"/>
    </row>
    <row r="506" spans="3:3" ht="12.5" x14ac:dyDescent="0.25">
      <c r="C506" s="9"/>
    </row>
    <row r="507" spans="3:3" ht="12.5" x14ac:dyDescent="0.25">
      <c r="C507" s="9"/>
    </row>
    <row r="508" spans="3:3" ht="12.5" x14ac:dyDescent="0.25">
      <c r="C508" s="9"/>
    </row>
    <row r="509" spans="3:3" ht="12.5" x14ac:dyDescent="0.25">
      <c r="C509" s="9"/>
    </row>
    <row r="510" spans="3:3" ht="12.5" x14ac:dyDescent="0.25">
      <c r="C510" s="9"/>
    </row>
    <row r="511" spans="3:3" ht="12.5" x14ac:dyDescent="0.25">
      <c r="C511" s="9"/>
    </row>
    <row r="512" spans="3:3" ht="12.5" x14ac:dyDescent="0.25">
      <c r="C512" s="9"/>
    </row>
    <row r="513" spans="3:3" ht="12.5" x14ac:dyDescent="0.25">
      <c r="C513" s="9"/>
    </row>
    <row r="514" spans="3:3" ht="12.5" x14ac:dyDescent="0.25">
      <c r="C514" s="9"/>
    </row>
    <row r="515" spans="3:3" ht="12.5" x14ac:dyDescent="0.25">
      <c r="C515" s="9"/>
    </row>
    <row r="516" spans="3:3" ht="12.5" x14ac:dyDescent="0.25">
      <c r="C516" s="9"/>
    </row>
    <row r="517" spans="3:3" ht="12.5" x14ac:dyDescent="0.25">
      <c r="C517" s="9"/>
    </row>
    <row r="518" spans="3:3" ht="12.5" x14ac:dyDescent="0.25">
      <c r="C518" s="9"/>
    </row>
    <row r="519" spans="3:3" ht="12.5" x14ac:dyDescent="0.25">
      <c r="C519" s="9"/>
    </row>
    <row r="520" spans="3:3" ht="12.5" x14ac:dyDescent="0.25">
      <c r="C520" s="9"/>
    </row>
    <row r="521" spans="3:3" ht="12.5" x14ac:dyDescent="0.25">
      <c r="C521" s="9"/>
    </row>
    <row r="522" spans="3:3" ht="12.5" x14ac:dyDescent="0.25">
      <c r="C522" s="9"/>
    </row>
    <row r="523" spans="3:3" ht="12.5" x14ac:dyDescent="0.25">
      <c r="C523" s="9"/>
    </row>
    <row r="524" spans="3:3" ht="12.5" x14ac:dyDescent="0.25">
      <c r="C524" s="9"/>
    </row>
    <row r="525" spans="3:3" ht="12.5" x14ac:dyDescent="0.25">
      <c r="C525" s="9"/>
    </row>
    <row r="526" spans="3:3" ht="12.5" x14ac:dyDescent="0.25">
      <c r="C526" s="9"/>
    </row>
    <row r="527" spans="3:3" ht="12.5" x14ac:dyDescent="0.25">
      <c r="C527" s="9"/>
    </row>
    <row r="528" spans="3:3" ht="12.5" x14ac:dyDescent="0.25">
      <c r="C528" s="9"/>
    </row>
    <row r="529" spans="3:3" ht="12.5" x14ac:dyDescent="0.25">
      <c r="C529" s="9"/>
    </row>
    <row r="530" spans="3:3" ht="12.5" x14ac:dyDescent="0.25">
      <c r="C530" s="9"/>
    </row>
    <row r="531" spans="3:3" ht="12.5" x14ac:dyDescent="0.25">
      <c r="C531" s="9"/>
    </row>
    <row r="532" spans="3:3" ht="12.5" x14ac:dyDescent="0.25">
      <c r="C532" s="9"/>
    </row>
    <row r="533" spans="3:3" ht="12.5" x14ac:dyDescent="0.25">
      <c r="C533" s="9"/>
    </row>
    <row r="534" spans="3:3" ht="12.5" x14ac:dyDescent="0.25">
      <c r="C534" s="9"/>
    </row>
    <row r="535" spans="3:3" ht="12.5" x14ac:dyDescent="0.25">
      <c r="C535" s="9"/>
    </row>
    <row r="536" spans="3:3" ht="12.5" x14ac:dyDescent="0.25">
      <c r="C536" s="9"/>
    </row>
    <row r="537" spans="3:3" ht="12.5" x14ac:dyDescent="0.25">
      <c r="C537" s="9"/>
    </row>
    <row r="538" spans="3:3" ht="12.5" x14ac:dyDescent="0.25">
      <c r="C538" s="9"/>
    </row>
    <row r="539" spans="3:3" ht="12.5" x14ac:dyDescent="0.25">
      <c r="C539" s="9"/>
    </row>
    <row r="540" spans="3:3" ht="12.5" x14ac:dyDescent="0.25">
      <c r="C540" s="9"/>
    </row>
    <row r="541" spans="3:3" ht="12.5" x14ac:dyDescent="0.25">
      <c r="C541" s="9"/>
    </row>
    <row r="542" spans="3:3" ht="12.5" x14ac:dyDescent="0.25">
      <c r="C542" s="9"/>
    </row>
    <row r="543" spans="3:3" ht="12.5" x14ac:dyDescent="0.25">
      <c r="C543" s="9"/>
    </row>
    <row r="544" spans="3:3" ht="12.5" x14ac:dyDescent="0.25">
      <c r="C544" s="9"/>
    </row>
    <row r="545" spans="3:3" ht="12.5" x14ac:dyDescent="0.25">
      <c r="C545" s="9"/>
    </row>
    <row r="546" spans="3:3" ht="12.5" x14ac:dyDescent="0.25">
      <c r="C546" s="9"/>
    </row>
    <row r="547" spans="3:3" ht="12.5" x14ac:dyDescent="0.25">
      <c r="C547" s="9"/>
    </row>
    <row r="548" spans="3:3" ht="12.5" x14ac:dyDescent="0.25">
      <c r="C548" s="9"/>
    </row>
    <row r="549" spans="3:3" ht="12.5" x14ac:dyDescent="0.25">
      <c r="C549" s="9"/>
    </row>
    <row r="550" spans="3:3" ht="12.5" x14ac:dyDescent="0.25">
      <c r="C550" s="9"/>
    </row>
    <row r="551" spans="3:3" ht="12.5" x14ac:dyDescent="0.25">
      <c r="C551" s="9"/>
    </row>
    <row r="552" spans="3:3" ht="12.5" x14ac:dyDescent="0.25">
      <c r="C552" s="9"/>
    </row>
    <row r="553" spans="3:3" ht="12.5" x14ac:dyDescent="0.25">
      <c r="C553" s="9"/>
    </row>
    <row r="554" spans="3:3" ht="12.5" x14ac:dyDescent="0.25">
      <c r="C554" s="9"/>
    </row>
    <row r="555" spans="3:3" ht="12.5" x14ac:dyDescent="0.25">
      <c r="C555" s="9"/>
    </row>
    <row r="556" spans="3:3" ht="12.5" x14ac:dyDescent="0.25">
      <c r="C556" s="9"/>
    </row>
    <row r="557" spans="3:3" ht="12.5" x14ac:dyDescent="0.25">
      <c r="C557" s="9"/>
    </row>
    <row r="558" spans="3:3" ht="12.5" x14ac:dyDescent="0.25">
      <c r="C558" s="9"/>
    </row>
    <row r="559" spans="3:3" ht="12.5" x14ac:dyDescent="0.25">
      <c r="C559" s="9"/>
    </row>
    <row r="560" spans="3:3" ht="12.5" x14ac:dyDescent="0.25">
      <c r="C560" s="9"/>
    </row>
    <row r="561" spans="3:3" ht="12.5" x14ac:dyDescent="0.25">
      <c r="C561" s="9"/>
    </row>
    <row r="562" spans="3:3" ht="12.5" x14ac:dyDescent="0.25">
      <c r="C562" s="9"/>
    </row>
    <row r="563" spans="3:3" ht="12.5" x14ac:dyDescent="0.25">
      <c r="C563" s="9"/>
    </row>
    <row r="564" spans="3:3" ht="12.5" x14ac:dyDescent="0.25">
      <c r="C564" s="9"/>
    </row>
    <row r="565" spans="3:3" ht="12.5" x14ac:dyDescent="0.25">
      <c r="C565" s="9"/>
    </row>
    <row r="566" spans="3:3" ht="12.5" x14ac:dyDescent="0.25">
      <c r="C566" s="9"/>
    </row>
    <row r="567" spans="3:3" ht="12.5" x14ac:dyDescent="0.25">
      <c r="C567" s="9"/>
    </row>
    <row r="568" spans="3:3" ht="12.5" x14ac:dyDescent="0.25">
      <c r="C568" s="9"/>
    </row>
    <row r="569" spans="3:3" ht="12.5" x14ac:dyDescent="0.25">
      <c r="C569" s="9"/>
    </row>
    <row r="570" spans="3:3" ht="12.5" x14ac:dyDescent="0.25">
      <c r="C570" s="9"/>
    </row>
    <row r="571" spans="3:3" ht="12.5" x14ac:dyDescent="0.25">
      <c r="C571" s="9"/>
    </row>
    <row r="572" spans="3:3" ht="12.5" x14ac:dyDescent="0.25">
      <c r="C572" s="9"/>
    </row>
    <row r="573" spans="3:3" ht="12.5" x14ac:dyDescent="0.25">
      <c r="C573" s="9"/>
    </row>
    <row r="574" spans="3:3" ht="12.5" x14ac:dyDescent="0.25">
      <c r="C574" s="9"/>
    </row>
    <row r="575" spans="3:3" ht="12.5" x14ac:dyDescent="0.25">
      <c r="C575" s="9"/>
    </row>
    <row r="576" spans="3:3" ht="12.5" x14ac:dyDescent="0.25">
      <c r="C576" s="9"/>
    </row>
    <row r="577" spans="3:3" ht="12.5" x14ac:dyDescent="0.25">
      <c r="C577" s="9"/>
    </row>
    <row r="578" spans="3:3" ht="12.5" x14ac:dyDescent="0.25">
      <c r="C578" s="9"/>
    </row>
    <row r="579" spans="3:3" ht="12.5" x14ac:dyDescent="0.25">
      <c r="C579" s="9"/>
    </row>
    <row r="580" spans="3:3" ht="12.5" x14ac:dyDescent="0.25">
      <c r="C580" s="9"/>
    </row>
    <row r="581" spans="3:3" ht="12.5" x14ac:dyDescent="0.25">
      <c r="C581" s="9"/>
    </row>
    <row r="582" spans="3:3" ht="12.5" x14ac:dyDescent="0.25">
      <c r="C582" s="9"/>
    </row>
    <row r="583" spans="3:3" ht="12.5" x14ac:dyDescent="0.25">
      <c r="C583" s="9"/>
    </row>
    <row r="584" spans="3:3" ht="12.5" x14ac:dyDescent="0.25">
      <c r="C584" s="9"/>
    </row>
    <row r="585" spans="3:3" ht="12.5" x14ac:dyDescent="0.25">
      <c r="C585" s="9"/>
    </row>
    <row r="586" spans="3:3" ht="12.5" x14ac:dyDescent="0.25">
      <c r="C586" s="9"/>
    </row>
    <row r="587" spans="3:3" ht="12.5" x14ac:dyDescent="0.25">
      <c r="C587" s="9"/>
    </row>
    <row r="588" spans="3:3" ht="12.5" x14ac:dyDescent="0.25">
      <c r="C588" s="9"/>
    </row>
    <row r="589" spans="3:3" ht="12.5" x14ac:dyDescent="0.25">
      <c r="C589" s="9"/>
    </row>
    <row r="590" spans="3:3" ht="12.5" x14ac:dyDescent="0.25">
      <c r="C590" s="9"/>
    </row>
    <row r="591" spans="3:3" ht="12.5" x14ac:dyDescent="0.25">
      <c r="C591" s="9"/>
    </row>
    <row r="592" spans="3:3" ht="12.5" x14ac:dyDescent="0.25">
      <c r="C592" s="9"/>
    </row>
    <row r="593" spans="3:3" ht="12.5" x14ac:dyDescent="0.25">
      <c r="C593" s="9"/>
    </row>
    <row r="594" spans="3:3" ht="12.5" x14ac:dyDescent="0.25">
      <c r="C594" s="9"/>
    </row>
    <row r="595" spans="3:3" ht="12.5" x14ac:dyDescent="0.25">
      <c r="C595" s="9"/>
    </row>
    <row r="596" spans="3:3" ht="12.5" x14ac:dyDescent="0.25">
      <c r="C596" s="9"/>
    </row>
    <row r="597" spans="3:3" ht="12.5" x14ac:dyDescent="0.25">
      <c r="C597" s="9"/>
    </row>
    <row r="598" spans="3:3" ht="12.5" x14ac:dyDescent="0.25">
      <c r="C598" s="9"/>
    </row>
    <row r="599" spans="3:3" ht="12.5" x14ac:dyDescent="0.25">
      <c r="C599" s="9"/>
    </row>
    <row r="600" spans="3:3" ht="12.5" x14ac:dyDescent="0.25">
      <c r="C600" s="9"/>
    </row>
    <row r="601" spans="3:3" ht="12.5" x14ac:dyDescent="0.25">
      <c r="C601" s="9"/>
    </row>
    <row r="602" spans="3:3" ht="12.5" x14ac:dyDescent="0.25">
      <c r="C602" s="9"/>
    </row>
    <row r="603" spans="3:3" ht="12.5" x14ac:dyDescent="0.25">
      <c r="C603" s="9"/>
    </row>
    <row r="604" spans="3:3" ht="12.5" x14ac:dyDescent="0.25">
      <c r="C604" s="9"/>
    </row>
    <row r="605" spans="3:3" ht="12.5" x14ac:dyDescent="0.25">
      <c r="C605" s="9"/>
    </row>
    <row r="606" spans="3:3" ht="12.5" x14ac:dyDescent="0.25">
      <c r="C606" s="9"/>
    </row>
    <row r="607" spans="3:3" ht="12.5" x14ac:dyDescent="0.25">
      <c r="C607" s="9"/>
    </row>
    <row r="608" spans="3:3" ht="12.5" x14ac:dyDescent="0.25">
      <c r="C608" s="9"/>
    </row>
    <row r="609" spans="3:3" ht="12.5" x14ac:dyDescent="0.25">
      <c r="C609" s="9"/>
    </row>
    <row r="610" spans="3:3" ht="12.5" x14ac:dyDescent="0.25">
      <c r="C610" s="9"/>
    </row>
    <row r="611" spans="3:3" ht="12.5" x14ac:dyDescent="0.25">
      <c r="C611" s="9"/>
    </row>
    <row r="612" spans="3:3" ht="12.5" x14ac:dyDescent="0.25">
      <c r="C612" s="9"/>
    </row>
    <row r="613" spans="3:3" ht="12.5" x14ac:dyDescent="0.25">
      <c r="C613" s="9"/>
    </row>
    <row r="614" spans="3:3" ht="12.5" x14ac:dyDescent="0.25">
      <c r="C614" s="9"/>
    </row>
    <row r="615" spans="3:3" ht="12.5" x14ac:dyDescent="0.25">
      <c r="C615" s="9"/>
    </row>
    <row r="616" spans="3:3" ht="12.5" x14ac:dyDescent="0.25">
      <c r="C616" s="9"/>
    </row>
    <row r="617" spans="3:3" ht="12.5" x14ac:dyDescent="0.25">
      <c r="C617" s="9"/>
    </row>
    <row r="618" spans="3:3" ht="12.5" x14ac:dyDescent="0.25">
      <c r="C618" s="9"/>
    </row>
    <row r="619" spans="3:3" ht="12.5" x14ac:dyDescent="0.25">
      <c r="C619" s="9"/>
    </row>
    <row r="620" spans="3:3" ht="12.5" x14ac:dyDescent="0.25">
      <c r="C620" s="9"/>
    </row>
    <row r="621" spans="3:3" ht="12.5" x14ac:dyDescent="0.25">
      <c r="C621" s="9"/>
    </row>
    <row r="622" spans="3:3" ht="12.5" x14ac:dyDescent="0.25">
      <c r="C622" s="9"/>
    </row>
    <row r="623" spans="3:3" ht="12.5" x14ac:dyDescent="0.25">
      <c r="C623" s="9"/>
    </row>
    <row r="624" spans="3:3" ht="12.5" x14ac:dyDescent="0.25">
      <c r="C624" s="9"/>
    </row>
    <row r="625" spans="3:3" ht="12.5" x14ac:dyDescent="0.25">
      <c r="C625" s="9"/>
    </row>
    <row r="626" spans="3:3" ht="12.5" x14ac:dyDescent="0.25">
      <c r="C626" s="9"/>
    </row>
    <row r="627" spans="3:3" ht="12.5" x14ac:dyDescent="0.25">
      <c r="C627" s="9"/>
    </row>
    <row r="628" spans="3:3" ht="12.5" x14ac:dyDescent="0.25">
      <c r="C628" s="9"/>
    </row>
    <row r="629" spans="3:3" ht="12.5" x14ac:dyDescent="0.25">
      <c r="C629" s="9"/>
    </row>
    <row r="630" spans="3:3" ht="12.5" x14ac:dyDescent="0.25">
      <c r="C630" s="9"/>
    </row>
    <row r="631" spans="3:3" ht="12.5" x14ac:dyDescent="0.25">
      <c r="C631" s="9"/>
    </row>
    <row r="632" spans="3:3" ht="12.5" x14ac:dyDescent="0.25">
      <c r="C632" s="9"/>
    </row>
    <row r="633" spans="3:3" ht="12.5" x14ac:dyDescent="0.25">
      <c r="C633" s="9"/>
    </row>
    <row r="634" spans="3:3" ht="12.5" x14ac:dyDescent="0.25">
      <c r="C634" s="9"/>
    </row>
    <row r="635" spans="3:3" ht="12.5" x14ac:dyDescent="0.25">
      <c r="C635" s="9"/>
    </row>
    <row r="636" spans="3:3" ht="12.5" x14ac:dyDescent="0.25">
      <c r="C636" s="9"/>
    </row>
    <row r="637" spans="3:3" ht="12.5" x14ac:dyDescent="0.25">
      <c r="C637" s="9"/>
    </row>
    <row r="638" spans="3:3" ht="12.5" x14ac:dyDescent="0.25">
      <c r="C638" s="9"/>
    </row>
    <row r="639" spans="3:3" ht="12.5" x14ac:dyDescent="0.25">
      <c r="C639" s="9"/>
    </row>
    <row r="640" spans="3:3" ht="12.5" x14ac:dyDescent="0.25">
      <c r="C640" s="9"/>
    </row>
    <row r="641" spans="3:3" ht="12.5" x14ac:dyDescent="0.25">
      <c r="C641" s="9"/>
    </row>
    <row r="642" spans="3:3" ht="12.5" x14ac:dyDescent="0.25">
      <c r="C642" s="9"/>
    </row>
    <row r="643" spans="3:3" ht="12.5" x14ac:dyDescent="0.25">
      <c r="C643" s="9"/>
    </row>
    <row r="644" spans="3:3" ht="12.5" x14ac:dyDescent="0.25">
      <c r="C644" s="9"/>
    </row>
    <row r="645" spans="3:3" ht="12.5" x14ac:dyDescent="0.25">
      <c r="C645" s="9"/>
    </row>
    <row r="646" spans="3:3" ht="12.5" x14ac:dyDescent="0.25">
      <c r="C646" s="9"/>
    </row>
    <row r="647" spans="3:3" ht="12.5" x14ac:dyDescent="0.25">
      <c r="C647" s="9"/>
    </row>
    <row r="648" spans="3:3" ht="12.5" x14ac:dyDescent="0.25">
      <c r="C648" s="9"/>
    </row>
    <row r="649" spans="3:3" ht="12.5" x14ac:dyDescent="0.25">
      <c r="C649" s="9"/>
    </row>
    <row r="650" spans="3:3" ht="12.5" x14ac:dyDescent="0.25">
      <c r="C650" s="9"/>
    </row>
    <row r="651" spans="3:3" ht="12.5" x14ac:dyDescent="0.25">
      <c r="C651" s="9"/>
    </row>
    <row r="652" spans="3:3" ht="12.5" x14ac:dyDescent="0.25">
      <c r="C652" s="9"/>
    </row>
    <row r="653" spans="3:3" ht="12.5" x14ac:dyDescent="0.25">
      <c r="C653" s="9"/>
    </row>
    <row r="654" spans="3:3" ht="12.5" x14ac:dyDescent="0.25">
      <c r="C654" s="9"/>
    </row>
    <row r="655" spans="3:3" ht="12.5" x14ac:dyDescent="0.25">
      <c r="C655" s="9"/>
    </row>
    <row r="656" spans="3:3" ht="12.5" x14ac:dyDescent="0.25">
      <c r="C656" s="9"/>
    </row>
    <row r="657" spans="3:3" ht="12.5" x14ac:dyDescent="0.25">
      <c r="C657" s="9"/>
    </row>
    <row r="658" spans="3:3" ht="12.5" x14ac:dyDescent="0.25">
      <c r="C658" s="9"/>
    </row>
    <row r="659" spans="3:3" ht="12.5" x14ac:dyDescent="0.25">
      <c r="C659" s="9"/>
    </row>
    <row r="660" spans="3:3" ht="12.5" x14ac:dyDescent="0.25">
      <c r="C660" s="9"/>
    </row>
    <row r="661" spans="3:3" ht="12.5" x14ac:dyDescent="0.25">
      <c r="C661" s="9"/>
    </row>
    <row r="662" spans="3:3" ht="12.5" x14ac:dyDescent="0.25">
      <c r="C662" s="9"/>
    </row>
    <row r="663" spans="3:3" ht="12.5" x14ac:dyDescent="0.25">
      <c r="C663" s="9"/>
    </row>
    <row r="664" spans="3:3" ht="12.5" x14ac:dyDescent="0.25">
      <c r="C664" s="9"/>
    </row>
    <row r="665" spans="3:3" ht="12.5" x14ac:dyDescent="0.25">
      <c r="C665" s="9"/>
    </row>
    <row r="666" spans="3:3" ht="12.5" x14ac:dyDescent="0.25">
      <c r="C666" s="9"/>
    </row>
    <row r="667" spans="3:3" ht="12.5" x14ac:dyDescent="0.25">
      <c r="C667" s="9"/>
    </row>
    <row r="668" spans="3:3" ht="12.5" x14ac:dyDescent="0.25">
      <c r="C668" s="9"/>
    </row>
    <row r="669" spans="3:3" ht="12.5" x14ac:dyDescent="0.25">
      <c r="C669" s="9"/>
    </row>
    <row r="670" spans="3:3" ht="12.5" x14ac:dyDescent="0.25">
      <c r="C670" s="9"/>
    </row>
    <row r="671" spans="3:3" ht="12.5" x14ac:dyDescent="0.25">
      <c r="C671" s="9"/>
    </row>
    <row r="672" spans="3:3" ht="12.5" x14ac:dyDescent="0.25">
      <c r="C672" s="9"/>
    </row>
    <row r="673" spans="3:3" ht="12.5" x14ac:dyDescent="0.25">
      <c r="C673" s="9"/>
    </row>
    <row r="674" spans="3:3" ht="12.5" x14ac:dyDescent="0.25">
      <c r="C674" s="9"/>
    </row>
    <row r="675" spans="3:3" ht="12.5" x14ac:dyDescent="0.25">
      <c r="C675" s="9"/>
    </row>
    <row r="676" spans="3:3" ht="12.5" x14ac:dyDescent="0.25">
      <c r="C676" s="9"/>
    </row>
    <row r="677" spans="3:3" ht="12.5" x14ac:dyDescent="0.25">
      <c r="C677" s="9"/>
    </row>
    <row r="678" spans="3:3" ht="12.5" x14ac:dyDescent="0.25">
      <c r="C678" s="9"/>
    </row>
    <row r="679" spans="3:3" ht="12.5" x14ac:dyDescent="0.25">
      <c r="C679" s="9"/>
    </row>
    <row r="680" spans="3:3" ht="12.5" x14ac:dyDescent="0.25">
      <c r="C680" s="9"/>
    </row>
    <row r="681" spans="3:3" ht="12.5" x14ac:dyDescent="0.25">
      <c r="C681" s="9"/>
    </row>
    <row r="682" spans="3:3" ht="12.5" x14ac:dyDescent="0.25">
      <c r="C682" s="9"/>
    </row>
    <row r="683" spans="3:3" ht="12.5" x14ac:dyDescent="0.25">
      <c r="C683" s="9"/>
    </row>
    <row r="684" spans="3:3" ht="12.5" x14ac:dyDescent="0.25">
      <c r="C684" s="9"/>
    </row>
    <row r="685" spans="3:3" ht="12.5" x14ac:dyDescent="0.25">
      <c r="C685" s="9"/>
    </row>
    <row r="686" spans="3:3" ht="12.5" x14ac:dyDescent="0.25">
      <c r="C686" s="9"/>
    </row>
    <row r="687" spans="3:3" ht="12.5" x14ac:dyDescent="0.25">
      <c r="C687" s="9"/>
    </row>
    <row r="688" spans="3:3" ht="12.5" x14ac:dyDescent="0.25">
      <c r="C688" s="9"/>
    </row>
    <row r="689" spans="3:3" ht="12.5" x14ac:dyDescent="0.25">
      <c r="C689" s="9"/>
    </row>
    <row r="690" spans="3:3" ht="12.5" x14ac:dyDescent="0.25">
      <c r="C690" s="9"/>
    </row>
    <row r="691" spans="3:3" ht="12.5" x14ac:dyDescent="0.25">
      <c r="C691" s="9"/>
    </row>
    <row r="692" spans="3:3" ht="12.5" x14ac:dyDescent="0.25">
      <c r="C692" s="9"/>
    </row>
    <row r="693" spans="3:3" ht="12.5" x14ac:dyDescent="0.25">
      <c r="C693" s="9"/>
    </row>
    <row r="694" spans="3:3" ht="12.5" x14ac:dyDescent="0.25">
      <c r="C694" s="9"/>
    </row>
    <row r="695" spans="3:3" ht="12.5" x14ac:dyDescent="0.25">
      <c r="C695" s="9"/>
    </row>
    <row r="696" spans="3:3" ht="12.5" x14ac:dyDescent="0.25">
      <c r="C696" s="9"/>
    </row>
    <row r="697" spans="3:3" ht="12.5" x14ac:dyDescent="0.25">
      <c r="C697" s="9"/>
    </row>
    <row r="698" spans="3:3" ht="12.5" x14ac:dyDescent="0.25">
      <c r="C698" s="9"/>
    </row>
    <row r="699" spans="3:3" ht="12.5" x14ac:dyDescent="0.25">
      <c r="C699" s="9"/>
    </row>
    <row r="700" spans="3:3" ht="12.5" x14ac:dyDescent="0.25">
      <c r="C700" s="9"/>
    </row>
    <row r="701" spans="3:3" ht="12.5" x14ac:dyDescent="0.25">
      <c r="C701" s="9"/>
    </row>
    <row r="702" spans="3:3" ht="12.5" x14ac:dyDescent="0.25">
      <c r="C702" s="9"/>
    </row>
    <row r="703" spans="3:3" ht="12.5" x14ac:dyDescent="0.25">
      <c r="C703" s="9"/>
    </row>
    <row r="704" spans="3:3" ht="12.5" x14ac:dyDescent="0.25">
      <c r="C704" s="9"/>
    </row>
    <row r="705" spans="3:3" ht="12.5" x14ac:dyDescent="0.25">
      <c r="C705" s="9"/>
    </row>
    <row r="706" spans="3:3" ht="12.5" x14ac:dyDescent="0.25">
      <c r="C706" s="9"/>
    </row>
    <row r="707" spans="3:3" ht="12.5" x14ac:dyDescent="0.25">
      <c r="C707" s="9"/>
    </row>
    <row r="708" spans="3:3" ht="12.5" x14ac:dyDescent="0.25">
      <c r="C708" s="9"/>
    </row>
    <row r="709" spans="3:3" ht="12.5" x14ac:dyDescent="0.25">
      <c r="C709" s="9"/>
    </row>
    <row r="710" spans="3:3" ht="12.5" x14ac:dyDescent="0.25">
      <c r="C710" s="9"/>
    </row>
    <row r="711" spans="3:3" ht="12.5" x14ac:dyDescent="0.25">
      <c r="C711" s="9"/>
    </row>
    <row r="712" spans="3:3" ht="12.5" x14ac:dyDescent="0.25">
      <c r="C712" s="9"/>
    </row>
    <row r="713" spans="3:3" ht="12.5" x14ac:dyDescent="0.25">
      <c r="C713" s="9"/>
    </row>
    <row r="714" spans="3:3" ht="12.5" x14ac:dyDescent="0.25">
      <c r="C714" s="9"/>
    </row>
    <row r="715" spans="3:3" ht="12.5" x14ac:dyDescent="0.25">
      <c r="C715" s="9"/>
    </row>
    <row r="716" spans="3:3" ht="12.5" x14ac:dyDescent="0.25">
      <c r="C716" s="9"/>
    </row>
    <row r="717" spans="3:3" ht="12.5" x14ac:dyDescent="0.25">
      <c r="C717" s="9"/>
    </row>
    <row r="718" spans="3:3" ht="12.5" x14ac:dyDescent="0.25">
      <c r="C718" s="9"/>
    </row>
    <row r="719" spans="3:3" ht="12.5" x14ac:dyDescent="0.25">
      <c r="C719" s="9"/>
    </row>
    <row r="720" spans="3:3" ht="12.5" x14ac:dyDescent="0.25">
      <c r="C720" s="9"/>
    </row>
    <row r="721" spans="3:3" ht="12.5" x14ac:dyDescent="0.25">
      <c r="C721" s="9"/>
    </row>
    <row r="722" spans="3:3" ht="12.5" x14ac:dyDescent="0.25">
      <c r="C722" s="9"/>
    </row>
    <row r="723" spans="3:3" ht="12.5" x14ac:dyDescent="0.25">
      <c r="C723" s="9"/>
    </row>
    <row r="724" spans="3:3" ht="12.5" x14ac:dyDescent="0.25">
      <c r="C724" s="9"/>
    </row>
    <row r="725" spans="3:3" ht="12.5" x14ac:dyDescent="0.25">
      <c r="C725" s="9"/>
    </row>
    <row r="726" spans="3:3" ht="12.5" x14ac:dyDescent="0.25">
      <c r="C726" s="9"/>
    </row>
    <row r="727" spans="3:3" ht="12.5" x14ac:dyDescent="0.25">
      <c r="C727" s="9"/>
    </row>
    <row r="728" spans="3:3" ht="12.5" x14ac:dyDescent="0.25">
      <c r="C728" s="9"/>
    </row>
    <row r="729" spans="3:3" ht="12.5" x14ac:dyDescent="0.25">
      <c r="C729" s="9"/>
    </row>
    <row r="730" spans="3:3" ht="12.5" x14ac:dyDescent="0.25">
      <c r="C730" s="9"/>
    </row>
    <row r="731" spans="3:3" ht="12.5" x14ac:dyDescent="0.25">
      <c r="C731" s="9"/>
    </row>
    <row r="732" spans="3:3" ht="12.5" x14ac:dyDescent="0.25">
      <c r="C732" s="9"/>
    </row>
    <row r="733" spans="3:3" ht="12.5" x14ac:dyDescent="0.25">
      <c r="C733" s="9"/>
    </row>
    <row r="734" spans="3:3" ht="12.5" x14ac:dyDescent="0.25">
      <c r="C734" s="9"/>
    </row>
    <row r="735" spans="3:3" ht="12.5" x14ac:dyDescent="0.25">
      <c r="C735" s="9"/>
    </row>
    <row r="736" spans="3:3" ht="12.5" x14ac:dyDescent="0.25">
      <c r="C736" s="9"/>
    </row>
    <row r="737" spans="3:3" ht="12.5" x14ac:dyDescent="0.25">
      <c r="C737" s="9"/>
    </row>
    <row r="738" spans="3:3" ht="12.5" x14ac:dyDescent="0.25">
      <c r="C738" s="9"/>
    </row>
    <row r="739" spans="3:3" ht="12.5" x14ac:dyDescent="0.25">
      <c r="C739" s="9"/>
    </row>
    <row r="740" spans="3:3" ht="12.5" x14ac:dyDescent="0.25">
      <c r="C740" s="9"/>
    </row>
    <row r="741" spans="3:3" ht="12.5" x14ac:dyDescent="0.25">
      <c r="C741" s="9"/>
    </row>
    <row r="742" spans="3:3" ht="12.5" x14ac:dyDescent="0.25">
      <c r="C742" s="9"/>
    </row>
    <row r="743" spans="3:3" ht="12.5" x14ac:dyDescent="0.25">
      <c r="C743" s="9"/>
    </row>
    <row r="744" spans="3:3" ht="12.5" x14ac:dyDescent="0.25">
      <c r="C744" s="9"/>
    </row>
    <row r="745" spans="3:3" ht="12.5" x14ac:dyDescent="0.25">
      <c r="C745" s="9"/>
    </row>
    <row r="746" spans="3:3" ht="12.5" x14ac:dyDescent="0.25">
      <c r="C746" s="9"/>
    </row>
    <row r="747" spans="3:3" ht="12.5" x14ac:dyDescent="0.25">
      <c r="C747" s="9"/>
    </row>
    <row r="748" spans="3:3" ht="12.5" x14ac:dyDescent="0.25">
      <c r="C748" s="9"/>
    </row>
    <row r="749" spans="3:3" ht="12.5" x14ac:dyDescent="0.25">
      <c r="C749" s="9"/>
    </row>
    <row r="750" spans="3:3" ht="12.5" x14ac:dyDescent="0.25">
      <c r="C750" s="9"/>
    </row>
    <row r="751" spans="3:3" ht="12.5" x14ac:dyDescent="0.25">
      <c r="C751" s="9"/>
    </row>
    <row r="752" spans="3:3" ht="12.5" x14ac:dyDescent="0.25">
      <c r="C752" s="9"/>
    </row>
    <row r="753" spans="3:3" ht="12.5" x14ac:dyDescent="0.25">
      <c r="C753" s="9"/>
    </row>
    <row r="754" spans="3:3" ht="12.5" x14ac:dyDescent="0.25">
      <c r="C754" s="9"/>
    </row>
    <row r="755" spans="3:3" ht="12.5" x14ac:dyDescent="0.25">
      <c r="C755" s="9"/>
    </row>
    <row r="756" spans="3:3" ht="12.5" x14ac:dyDescent="0.25">
      <c r="C756" s="9"/>
    </row>
    <row r="757" spans="3:3" ht="12.5" x14ac:dyDescent="0.25">
      <c r="C757" s="9"/>
    </row>
    <row r="758" spans="3:3" ht="12.5" x14ac:dyDescent="0.25">
      <c r="C758" s="9"/>
    </row>
    <row r="759" spans="3:3" ht="12.5" x14ac:dyDescent="0.25">
      <c r="C759" s="9"/>
    </row>
    <row r="760" spans="3:3" ht="12.5" x14ac:dyDescent="0.25">
      <c r="C760" s="9"/>
    </row>
    <row r="761" spans="3:3" ht="12.5" x14ac:dyDescent="0.25">
      <c r="C761" s="9"/>
    </row>
    <row r="762" spans="3:3" ht="12.5" x14ac:dyDescent="0.25">
      <c r="C762" s="9"/>
    </row>
    <row r="763" spans="3:3" ht="12.5" x14ac:dyDescent="0.25">
      <c r="C763" s="9"/>
    </row>
    <row r="764" spans="3:3" ht="12.5" x14ac:dyDescent="0.25">
      <c r="C764" s="9"/>
    </row>
    <row r="765" spans="3:3" ht="12.5" x14ac:dyDescent="0.25">
      <c r="C765" s="9"/>
    </row>
    <row r="766" spans="3:3" ht="12.5" x14ac:dyDescent="0.25">
      <c r="C766" s="9"/>
    </row>
    <row r="767" spans="3:3" ht="12.5" x14ac:dyDescent="0.25">
      <c r="C767" s="9"/>
    </row>
    <row r="768" spans="3:3" ht="12.5" x14ac:dyDescent="0.25">
      <c r="C768" s="9"/>
    </row>
    <row r="769" spans="3:3" ht="12.5" x14ac:dyDescent="0.25">
      <c r="C769" s="9"/>
    </row>
    <row r="770" spans="3:3" ht="12.5" x14ac:dyDescent="0.25">
      <c r="C770" s="9"/>
    </row>
    <row r="771" spans="3:3" ht="12.5" x14ac:dyDescent="0.25">
      <c r="C771" s="9"/>
    </row>
    <row r="772" spans="3:3" ht="12.5" x14ac:dyDescent="0.25">
      <c r="C772" s="9"/>
    </row>
    <row r="773" spans="3:3" ht="12.5" x14ac:dyDescent="0.25">
      <c r="C773" s="9"/>
    </row>
    <row r="774" spans="3:3" ht="12.5" x14ac:dyDescent="0.25">
      <c r="C774" s="9"/>
    </row>
    <row r="775" spans="3:3" ht="12.5" x14ac:dyDescent="0.25">
      <c r="C775" s="9"/>
    </row>
    <row r="776" spans="3:3" ht="12.5" x14ac:dyDescent="0.25">
      <c r="C776" s="9"/>
    </row>
    <row r="777" spans="3:3" ht="12.5" x14ac:dyDescent="0.25">
      <c r="C777" s="9"/>
    </row>
    <row r="778" spans="3:3" ht="12.5" x14ac:dyDescent="0.25">
      <c r="C778" s="9"/>
    </row>
    <row r="779" spans="3:3" ht="12.5" x14ac:dyDescent="0.25">
      <c r="C779" s="9"/>
    </row>
    <row r="780" spans="3:3" ht="12.5" x14ac:dyDescent="0.25">
      <c r="C780" s="9"/>
    </row>
    <row r="781" spans="3:3" ht="12.5" x14ac:dyDescent="0.25">
      <c r="C781" s="9"/>
    </row>
    <row r="782" spans="3:3" ht="12.5" x14ac:dyDescent="0.25">
      <c r="C782" s="9"/>
    </row>
    <row r="783" spans="3:3" ht="12.5" x14ac:dyDescent="0.25">
      <c r="C783" s="9"/>
    </row>
    <row r="784" spans="3:3" ht="12.5" x14ac:dyDescent="0.25">
      <c r="C784" s="9"/>
    </row>
    <row r="785" spans="3:3" ht="12.5" x14ac:dyDescent="0.25">
      <c r="C785" s="9"/>
    </row>
    <row r="786" spans="3:3" ht="12.5" x14ac:dyDescent="0.25">
      <c r="C786" s="9"/>
    </row>
    <row r="787" spans="3:3" ht="12.5" x14ac:dyDescent="0.25">
      <c r="C787" s="9"/>
    </row>
    <row r="788" spans="3:3" ht="12.5" x14ac:dyDescent="0.25">
      <c r="C788" s="9"/>
    </row>
    <row r="789" spans="3:3" ht="12.5" x14ac:dyDescent="0.25">
      <c r="C789" s="9"/>
    </row>
    <row r="790" spans="3:3" ht="12.5" x14ac:dyDescent="0.25">
      <c r="C790" s="9"/>
    </row>
    <row r="791" spans="3:3" ht="12.5" x14ac:dyDescent="0.25">
      <c r="C791" s="9"/>
    </row>
    <row r="792" spans="3:3" ht="12.5" x14ac:dyDescent="0.25">
      <c r="C792" s="9"/>
    </row>
    <row r="793" spans="3:3" ht="12.5" x14ac:dyDescent="0.25">
      <c r="C793" s="9"/>
    </row>
    <row r="794" spans="3:3" ht="12.5" x14ac:dyDescent="0.25">
      <c r="C794" s="9"/>
    </row>
    <row r="795" spans="3:3" ht="12.5" x14ac:dyDescent="0.25">
      <c r="C795" s="9"/>
    </row>
    <row r="796" spans="3:3" ht="12.5" x14ac:dyDescent="0.25">
      <c r="C796" s="9"/>
    </row>
    <row r="797" spans="3:3" ht="12.5" x14ac:dyDescent="0.25">
      <c r="C797" s="9"/>
    </row>
    <row r="798" spans="3:3" ht="12.5" x14ac:dyDescent="0.25">
      <c r="C798" s="9"/>
    </row>
    <row r="799" spans="3:3" ht="12.5" x14ac:dyDescent="0.25">
      <c r="C799" s="9"/>
    </row>
    <row r="800" spans="3:3" ht="12.5" x14ac:dyDescent="0.25">
      <c r="C800" s="9"/>
    </row>
    <row r="801" spans="3:3" ht="12.5" x14ac:dyDescent="0.25">
      <c r="C801" s="9"/>
    </row>
    <row r="802" spans="3:3" ht="12.5" x14ac:dyDescent="0.25">
      <c r="C802" s="9"/>
    </row>
    <row r="803" spans="3:3" ht="12.5" x14ac:dyDescent="0.25">
      <c r="C803" s="9"/>
    </row>
    <row r="804" spans="3:3" ht="12.5" x14ac:dyDescent="0.25">
      <c r="C804" s="9"/>
    </row>
    <row r="805" spans="3:3" ht="12.5" x14ac:dyDescent="0.25">
      <c r="C805" s="9"/>
    </row>
    <row r="806" spans="3:3" ht="12.5" x14ac:dyDescent="0.25">
      <c r="C806" s="9"/>
    </row>
    <row r="807" spans="3:3" ht="12.5" x14ac:dyDescent="0.25">
      <c r="C807" s="9"/>
    </row>
    <row r="808" spans="3:3" ht="12.5" x14ac:dyDescent="0.25">
      <c r="C808" s="9"/>
    </row>
    <row r="809" spans="3:3" ht="12.5" x14ac:dyDescent="0.25">
      <c r="C809" s="9"/>
    </row>
    <row r="810" spans="3:3" ht="12.5" x14ac:dyDescent="0.25">
      <c r="C810" s="9"/>
    </row>
    <row r="811" spans="3:3" ht="12.5" x14ac:dyDescent="0.25">
      <c r="C811" s="9"/>
    </row>
    <row r="812" spans="3:3" ht="12.5" x14ac:dyDescent="0.25">
      <c r="C812" s="9"/>
    </row>
    <row r="813" spans="3:3" ht="12.5" x14ac:dyDescent="0.25">
      <c r="C813" s="9"/>
    </row>
    <row r="814" spans="3:3" ht="12.5" x14ac:dyDescent="0.25">
      <c r="C814" s="9"/>
    </row>
    <row r="815" spans="3:3" ht="12.5" x14ac:dyDescent="0.25">
      <c r="C815" s="9"/>
    </row>
    <row r="816" spans="3:3" ht="12.5" x14ac:dyDescent="0.25">
      <c r="C816" s="9"/>
    </row>
    <row r="817" spans="3:3" ht="12.5" x14ac:dyDescent="0.25">
      <c r="C817" s="9"/>
    </row>
    <row r="818" spans="3:3" ht="12.5" x14ac:dyDescent="0.25">
      <c r="C818" s="9"/>
    </row>
    <row r="819" spans="3:3" ht="12.5" x14ac:dyDescent="0.25">
      <c r="C819" s="9"/>
    </row>
    <row r="820" spans="3:3" ht="12.5" x14ac:dyDescent="0.25">
      <c r="C820" s="9"/>
    </row>
    <row r="821" spans="3:3" ht="12.5" x14ac:dyDescent="0.25">
      <c r="C821" s="9"/>
    </row>
    <row r="822" spans="3:3" ht="12.5" x14ac:dyDescent="0.25">
      <c r="C822" s="9"/>
    </row>
    <row r="823" spans="3:3" ht="12.5" x14ac:dyDescent="0.25">
      <c r="C823" s="9"/>
    </row>
    <row r="824" spans="3:3" ht="12.5" x14ac:dyDescent="0.25">
      <c r="C824" s="9"/>
    </row>
    <row r="825" spans="3:3" ht="12.5" x14ac:dyDescent="0.25">
      <c r="C825" s="9"/>
    </row>
    <row r="826" spans="3:3" ht="12.5" x14ac:dyDescent="0.25">
      <c r="C826" s="9"/>
    </row>
    <row r="827" spans="3:3" ht="12.5" x14ac:dyDescent="0.25">
      <c r="C827" s="9"/>
    </row>
    <row r="828" spans="3:3" ht="12.5" x14ac:dyDescent="0.25">
      <c r="C828" s="9"/>
    </row>
    <row r="829" spans="3:3" ht="12.5" x14ac:dyDescent="0.25">
      <c r="C829" s="9"/>
    </row>
    <row r="830" spans="3:3" ht="12.5" x14ac:dyDescent="0.25">
      <c r="C830" s="9"/>
    </row>
    <row r="831" spans="3:3" ht="12.5" x14ac:dyDescent="0.25">
      <c r="C831" s="9"/>
    </row>
    <row r="832" spans="3:3" ht="12.5" x14ac:dyDescent="0.25">
      <c r="C832" s="9"/>
    </row>
    <row r="833" spans="3:3" ht="12.5" x14ac:dyDescent="0.25">
      <c r="C833" s="9"/>
    </row>
    <row r="834" spans="3:3" ht="12.5" x14ac:dyDescent="0.25">
      <c r="C834" s="9"/>
    </row>
    <row r="835" spans="3:3" ht="12.5" x14ac:dyDescent="0.25">
      <c r="C835" s="9"/>
    </row>
    <row r="836" spans="3:3" ht="12.5" x14ac:dyDescent="0.25">
      <c r="C836" s="9"/>
    </row>
    <row r="837" spans="3:3" ht="12.5" x14ac:dyDescent="0.25">
      <c r="C837" s="9"/>
    </row>
    <row r="838" spans="3:3" ht="12.5" x14ac:dyDescent="0.25">
      <c r="C838" s="9"/>
    </row>
    <row r="839" spans="3:3" ht="12.5" x14ac:dyDescent="0.25">
      <c r="C839" s="9"/>
    </row>
    <row r="840" spans="3:3" ht="12.5" x14ac:dyDescent="0.25">
      <c r="C840" s="9"/>
    </row>
    <row r="841" spans="3:3" ht="12.5" x14ac:dyDescent="0.25">
      <c r="C841" s="9"/>
    </row>
    <row r="842" spans="3:3" ht="12.5" x14ac:dyDescent="0.25">
      <c r="C842" s="9"/>
    </row>
    <row r="843" spans="3:3" ht="12.5" x14ac:dyDescent="0.25">
      <c r="C843" s="9"/>
    </row>
    <row r="844" spans="3:3" ht="12.5" x14ac:dyDescent="0.25">
      <c r="C844" s="9"/>
    </row>
    <row r="845" spans="3:3" ht="12.5" x14ac:dyDescent="0.25">
      <c r="C845" s="9"/>
    </row>
    <row r="846" spans="3:3" ht="12.5" x14ac:dyDescent="0.25">
      <c r="C846" s="9"/>
    </row>
    <row r="847" spans="3:3" ht="12.5" x14ac:dyDescent="0.25">
      <c r="C847" s="9"/>
    </row>
    <row r="848" spans="3:3" ht="12.5" x14ac:dyDescent="0.25">
      <c r="C848" s="9"/>
    </row>
    <row r="849" spans="3:3" ht="12.5" x14ac:dyDescent="0.25">
      <c r="C849" s="9"/>
    </row>
    <row r="850" spans="3:3" ht="12.5" x14ac:dyDescent="0.25">
      <c r="C850" s="9"/>
    </row>
    <row r="851" spans="3:3" ht="12.5" x14ac:dyDescent="0.25">
      <c r="C851" s="9"/>
    </row>
    <row r="852" spans="3:3" ht="12.5" x14ac:dyDescent="0.25">
      <c r="C852" s="9"/>
    </row>
    <row r="853" spans="3:3" ht="12.5" x14ac:dyDescent="0.25">
      <c r="C853" s="9"/>
    </row>
    <row r="854" spans="3:3" ht="12.5" x14ac:dyDescent="0.25">
      <c r="C854" s="9"/>
    </row>
    <row r="855" spans="3:3" ht="12.5" x14ac:dyDescent="0.25">
      <c r="C855" s="9"/>
    </row>
    <row r="856" spans="3:3" ht="12.5" x14ac:dyDescent="0.25">
      <c r="C856" s="9"/>
    </row>
    <row r="857" spans="3:3" ht="12.5" x14ac:dyDescent="0.25">
      <c r="C857" s="9"/>
    </row>
    <row r="858" spans="3:3" ht="12.5" x14ac:dyDescent="0.25">
      <c r="C858" s="9"/>
    </row>
    <row r="859" spans="3:3" ht="12.5" x14ac:dyDescent="0.25">
      <c r="C859" s="9"/>
    </row>
    <row r="860" spans="3:3" ht="12.5" x14ac:dyDescent="0.25">
      <c r="C860" s="9"/>
    </row>
    <row r="861" spans="3:3" ht="12.5" x14ac:dyDescent="0.25">
      <c r="C861" s="9"/>
    </row>
    <row r="862" spans="3:3" ht="12.5" x14ac:dyDescent="0.25">
      <c r="C862" s="9"/>
    </row>
    <row r="863" spans="3:3" ht="12.5" x14ac:dyDescent="0.25">
      <c r="C863" s="9"/>
    </row>
    <row r="864" spans="3:3" ht="12.5" x14ac:dyDescent="0.25">
      <c r="C864" s="9"/>
    </row>
    <row r="865" spans="3:3" ht="12.5" x14ac:dyDescent="0.25">
      <c r="C865" s="9"/>
    </row>
    <row r="866" spans="3:3" ht="12.5" x14ac:dyDescent="0.25">
      <c r="C866" s="9"/>
    </row>
    <row r="867" spans="3:3" ht="12.5" x14ac:dyDescent="0.25">
      <c r="C867" s="9"/>
    </row>
    <row r="868" spans="3:3" ht="12.5" x14ac:dyDescent="0.25">
      <c r="C868" s="9"/>
    </row>
    <row r="869" spans="3:3" ht="12.5" x14ac:dyDescent="0.25">
      <c r="C869" s="9"/>
    </row>
    <row r="870" spans="3:3" ht="12.5" x14ac:dyDescent="0.25">
      <c r="C870" s="9"/>
    </row>
    <row r="871" spans="3:3" ht="12.5" x14ac:dyDescent="0.25">
      <c r="C871" s="9"/>
    </row>
    <row r="872" spans="3:3" ht="12.5" x14ac:dyDescent="0.25">
      <c r="C872" s="9"/>
    </row>
    <row r="873" spans="3:3" ht="12.5" x14ac:dyDescent="0.25">
      <c r="C873" s="9"/>
    </row>
    <row r="874" spans="3:3" ht="12.5" x14ac:dyDescent="0.25">
      <c r="C874" s="9"/>
    </row>
    <row r="875" spans="3:3" ht="12.5" x14ac:dyDescent="0.25">
      <c r="C875" s="9"/>
    </row>
    <row r="876" spans="3:3" ht="12.5" x14ac:dyDescent="0.25">
      <c r="C876" s="9"/>
    </row>
    <row r="877" spans="3:3" ht="12.5" x14ac:dyDescent="0.25">
      <c r="C877" s="9"/>
    </row>
    <row r="878" spans="3:3" ht="12.5" x14ac:dyDescent="0.25">
      <c r="C878" s="9"/>
    </row>
    <row r="879" spans="3:3" ht="12.5" x14ac:dyDescent="0.25">
      <c r="C879" s="9"/>
    </row>
    <row r="880" spans="3:3" ht="12.5" x14ac:dyDescent="0.25">
      <c r="C880" s="9"/>
    </row>
    <row r="881" spans="3:3" ht="12.5" x14ac:dyDescent="0.25">
      <c r="C881" s="9"/>
    </row>
    <row r="882" spans="3:3" ht="12.5" x14ac:dyDescent="0.25">
      <c r="C882" s="9"/>
    </row>
    <row r="883" spans="3:3" ht="12.5" x14ac:dyDescent="0.25">
      <c r="C883" s="9"/>
    </row>
    <row r="884" spans="3:3" ht="12.5" x14ac:dyDescent="0.25">
      <c r="C884" s="9"/>
    </row>
    <row r="885" spans="3:3" ht="12.5" x14ac:dyDescent="0.25">
      <c r="C885" s="9"/>
    </row>
    <row r="886" spans="3:3" ht="12.5" x14ac:dyDescent="0.25">
      <c r="C886" s="9"/>
    </row>
    <row r="887" spans="3:3" ht="12.5" x14ac:dyDescent="0.25">
      <c r="C887" s="9"/>
    </row>
    <row r="888" spans="3:3" ht="12.5" x14ac:dyDescent="0.25">
      <c r="C888" s="9"/>
    </row>
    <row r="889" spans="3:3" ht="12.5" x14ac:dyDescent="0.25">
      <c r="C889" s="9"/>
    </row>
    <row r="890" spans="3:3" ht="12.5" x14ac:dyDescent="0.25">
      <c r="C890" s="9"/>
    </row>
    <row r="891" spans="3:3" ht="12.5" x14ac:dyDescent="0.25">
      <c r="C891" s="9"/>
    </row>
    <row r="892" spans="3:3" ht="12.5" x14ac:dyDescent="0.25">
      <c r="C892" s="9"/>
    </row>
    <row r="893" spans="3:3" ht="12.5" x14ac:dyDescent="0.25">
      <c r="C893" s="9"/>
    </row>
    <row r="894" spans="3:3" ht="12.5" x14ac:dyDescent="0.25">
      <c r="C894" s="9"/>
    </row>
    <row r="895" spans="3:3" ht="12.5" x14ac:dyDescent="0.25">
      <c r="C895" s="9"/>
    </row>
    <row r="896" spans="3:3" ht="12.5" x14ac:dyDescent="0.25">
      <c r="C896" s="9"/>
    </row>
    <row r="897" spans="3:3" ht="12.5" x14ac:dyDescent="0.25">
      <c r="C897" s="9"/>
    </row>
    <row r="898" spans="3:3" ht="12.5" x14ac:dyDescent="0.25">
      <c r="C898" s="9"/>
    </row>
    <row r="899" spans="3:3" ht="12.5" x14ac:dyDescent="0.25">
      <c r="C899" s="9"/>
    </row>
    <row r="900" spans="3:3" ht="12.5" x14ac:dyDescent="0.25">
      <c r="C900" s="9"/>
    </row>
    <row r="901" spans="3:3" ht="12.5" x14ac:dyDescent="0.25">
      <c r="C901" s="9"/>
    </row>
    <row r="902" spans="3:3" ht="12.5" x14ac:dyDescent="0.25">
      <c r="C902" s="9"/>
    </row>
    <row r="903" spans="3:3" ht="12.5" x14ac:dyDescent="0.25">
      <c r="C903" s="9"/>
    </row>
    <row r="904" spans="3:3" ht="12.5" x14ac:dyDescent="0.25">
      <c r="C904" s="9"/>
    </row>
    <row r="905" spans="3:3" ht="12.5" x14ac:dyDescent="0.25">
      <c r="C905" s="9"/>
    </row>
    <row r="906" spans="3:3" ht="12.5" x14ac:dyDescent="0.25">
      <c r="C906" s="9"/>
    </row>
    <row r="907" spans="3:3" ht="12.5" x14ac:dyDescent="0.25">
      <c r="C907" s="9"/>
    </row>
    <row r="908" spans="3:3" ht="12.5" x14ac:dyDescent="0.25">
      <c r="C908" s="9"/>
    </row>
    <row r="909" spans="3:3" ht="12.5" x14ac:dyDescent="0.25">
      <c r="C909" s="9"/>
    </row>
    <row r="910" spans="3:3" ht="12.5" x14ac:dyDescent="0.25">
      <c r="C910" s="9"/>
    </row>
    <row r="911" spans="3:3" ht="12.5" x14ac:dyDescent="0.25">
      <c r="C911" s="9"/>
    </row>
    <row r="912" spans="3:3" ht="12.5" x14ac:dyDescent="0.25">
      <c r="C912" s="9"/>
    </row>
    <row r="913" spans="3:3" ht="12.5" x14ac:dyDescent="0.25">
      <c r="C913" s="9"/>
    </row>
    <row r="914" spans="3:3" ht="12.5" x14ac:dyDescent="0.25">
      <c r="C914" s="9"/>
    </row>
    <row r="915" spans="3:3" ht="12.5" x14ac:dyDescent="0.25">
      <c r="C915" s="9"/>
    </row>
    <row r="916" spans="3:3" ht="12.5" x14ac:dyDescent="0.25">
      <c r="C916" s="9"/>
    </row>
    <row r="917" spans="3:3" ht="12.5" x14ac:dyDescent="0.25">
      <c r="C917" s="9"/>
    </row>
    <row r="918" spans="3:3" ht="12.5" x14ac:dyDescent="0.25">
      <c r="C918" s="9"/>
    </row>
    <row r="919" spans="3:3" ht="12.5" x14ac:dyDescent="0.25">
      <c r="C919" s="9"/>
    </row>
    <row r="920" spans="3:3" ht="12.5" x14ac:dyDescent="0.25">
      <c r="C920" s="9"/>
    </row>
    <row r="921" spans="3:3" ht="12.5" x14ac:dyDescent="0.25">
      <c r="C921" s="9"/>
    </row>
    <row r="922" spans="3:3" ht="12.5" x14ac:dyDescent="0.25">
      <c r="C922" s="9"/>
    </row>
    <row r="923" spans="3:3" ht="12.5" x14ac:dyDescent="0.25">
      <c r="C923" s="9"/>
    </row>
    <row r="924" spans="3:3" ht="12.5" x14ac:dyDescent="0.25">
      <c r="C924" s="9"/>
    </row>
    <row r="925" spans="3:3" ht="12.5" x14ac:dyDescent="0.25">
      <c r="C925" s="9"/>
    </row>
    <row r="926" spans="3:3" ht="12.5" x14ac:dyDescent="0.25">
      <c r="C926" s="9"/>
    </row>
    <row r="927" spans="3:3" ht="12.5" x14ac:dyDescent="0.25">
      <c r="C927" s="9"/>
    </row>
    <row r="928" spans="3:3" ht="12.5" x14ac:dyDescent="0.25">
      <c r="C928" s="9"/>
    </row>
    <row r="929" spans="3:3" ht="12.5" x14ac:dyDescent="0.25">
      <c r="C929" s="9"/>
    </row>
    <row r="930" spans="3:3" ht="12.5" x14ac:dyDescent="0.25">
      <c r="C930" s="9"/>
    </row>
    <row r="931" spans="3:3" ht="12.5" x14ac:dyDescent="0.25">
      <c r="C931" s="9"/>
    </row>
    <row r="932" spans="3:3" ht="12.5" x14ac:dyDescent="0.25">
      <c r="C932" s="9"/>
    </row>
    <row r="933" spans="3:3" ht="12.5" x14ac:dyDescent="0.25">
      <c r="C933" s="9"/>
    </row>
    <row r="934" spans="3:3" ht="12.5" x14ac:dyDescent="0.25">
      <c r="C934" s="9"/>
    </row>
    <row r="935" spans="3:3" ht="12.5" x14ac:dyDescent="0.25">
      <c r="C935" s="9"/>
    </row>
    <row r="936" spans="3:3" ht="12.5" x14ac:dyDescent="0.25">
      <c r="C936" s="9"/>
    </row>
    <row r="937" spans="3:3" ht="12.5" x14ac:dyDescent="0.25">
      <c r="C937" s="9"/>
    </row>
    <row r="938" spans="3:3" ht="12.5" x14ac:dyDescent="0.25">
      <c r="C938" s="9"/>
    </row>
    <row r="939" spans="3:3" ht="12.5" x14ac:dyDescent="0.25">
      <c r="C939" s="9"/>
    </row>
    <row r="940" spans="3:3" ht="12.5" x14ac:dyDescent="0.25">
      <c r="C940" s="9"/>
    </row>
    <row r="941" spans="3:3" ht="12.5" x14ac:dyDescent="0.25">
      <c r="C941" s="9"/>
    </row>
    <row r="942" spans="3:3" ht="12.5" x14ac:dyDescent="0.25">
      <c r="C942" s="9"/>
    </row>
    <row r="943" spans="3:3" ht="12.5" x14ac:dyDescent="0.25">
      <c r="C943" s="9"/>
    </row>
    <row r="944" spans="3:3" ht="12.5" x14ac:dyDescent="0.25">
      <c r="C944" s="9"/>
    </row>
    <row r="945" spans="3:3" ht="12.5" x14ac:dyDescent="0.25">
      <c r="C945" s="9"/>
    </row>
    <row r="946" spans="3:3" ht="12.5" x14ac:dyDescent="0.25">
      <c r="C946" s="9"/>
    </row>
    <row r="947" spans="3:3" ht="12.5" x14ac:dyDescent="0.25">
      <c r="C947" s="9"/>
    </row>
    <row r="948" spans="3:3" ht="12.5" x14ac:dyDescent="0.25">
      <c r="C948" s="9"/>
    </row>
    <row r="949" spans="3:3" ht="12.5" x14ac:dyDescent="0.25">
      <c r="C949" s="9"/>
    </row>
    <row r="950" spans="3:3" ht="12.5" x14ac:dyDescent="0.25">
      <c r="C950" s="9"/>
    </row>
    <row r="951" spans="3:3" ht="12.5" x14ac:dyDescent="0.25">
      <c r="C951" s="9"/>
    </row>
    <row r="952" spans="3:3" ht="12.5" x14ac:dyDescent="0.25">
      <c r="C952" s="9"/>
    </row>
    <row r="953" spans="3:3" ht="12.5" x14ac:dyDescent="0.25">
      <c r="C953" s="9"/>
    </row>
    <row r="954" spans="3:3" ht="12.5" x14ac:dyDescent="0.25">
      <c r="C954" s="9"/>
    </row>
    <row r="955" spans="3:3" ht="12.5" x14ac:dyDescent="0.25">
      <c r="C955" s="9"/>
    </row>
    <row r="956" spans="3:3" ht="12.5" x14ac:dyDescent="0.25">
      <c r="C956" s="9"/>
    </row>
    <row r="957" spans="3:3" ht="12.5" x14ac:dyDescent="0.25">
      <c r="C957" s="9"/>
    </row>
    <row r="958" spans="3:3" ht="12.5" x14ac:dyDescent="0.25">
      <c r="C958" s="9"/>
    </row>
    <row r="959" spans="3:3" ht="12.5" x14ac:dyDescent="0.25">
      <c r="C959" s="9"/>
    </row>
    <row r="960" spans="3:3" ht="12.5" x14ac:dyDescent="0.25">
      <c r="C960" s="9"/>
    </row>
    <row r="961" spans="3:3" ht="12.5" x14ac:dyDescent="0.25">
      <c r="C961" s="9"/>
    </row>
    <row r="962" spans="3:3" ht="12.5" x14ac:dyDescent="0.25">
      <c r="C962" s="9"/>
    </row>
    <row r="963" spans="3:3" ht="12.5" x14ac:dyDescent="0.25">
      <c r="C963" s="9"/>
    </row>
    <row r="964" spans="3:3" ht="12.5" x14ac:dyDescent="0.25">
      <c r="C964" s="9"/>
    </row>
    <row r="965" spans="3:3" ht="12.5" x14ac:dyDescent="0.25">
      <c r="C965" s="9"/>
    </row>
    <row r="966" spans="3:3" ht="12.5" x14ac:dyDescent="0.25">
      <c r="C966" s="9"/>
    </row>
    <row r="967" spans="3:3" ht="12.5" x14ac:dyDescent="0.25">
      <c r="C967" s="9"/>
    </row>
    <row r="968" spans="3:3" ht="12.5" x14ac:dyDescent="0.25">
      <c r="C968" s="9"/>
    </row>
    <row r="969" spans="3:3" ht="12.5" x14ac:dyDescent="0.25">
      <c r="C969" s="9"/>
    </row>
    <row r="970" spans="3:3" ht="12.5" x14ac:dyDescent="0.25">
      <c r="C970" s="9"/>
    </row>
    <row r="971" spans="3:3" ht="12.5" x14ac:dyDescent="0.25">
      <c r="C971" s="9"/>
    </row>
    <row r="972" spans="3:3" ht="12.5" x14ac:dyDescent="0.25">
      <c r="C972" s="9"/>
    </row>
    <row r="973" spans="3:3" ht="12.5" x14ac:dyDescent="0.25">
      <c r="C973" s="9"/>
    </row>
    <row r="974" spans="3:3" ht="12.5" x14ac:dyDescent="0.25">
      <c r="C974" s="9"/>
    </row>
    <row r="975" spans="3:3" ht="12.5" x14ac:dyDescent="0.25">
      <c r="C975" s="9"/>
    </row>
    <row r="976" spans="3:3" ht="12.5" x14ac:dyDescent="0.25">
      <c r="C976" s="9"/>
    </row>
    <row r="977" spans="3:3" ht="12.5" x14ac:dyDescent="0.25">
      <c r="C977" s="9"/>
    </row>
    <row r="978" spans="3:3" ht="12.5" x14ac:dyDescent="0.25">
      <c r="C978" s="9"/>
    </row>
    <row r="979" spans="3:3" ht="12.5" x14ac:dyDescent="0.25">
      <c r="C979" s="9"/>
    </row>
    <row r="980" spans="3:3" ht="12.5" x14ac:dyDescent="0.25">
      <c r="C980" s="9"/>
    </row>
    <row r="981" spans="3:3" ht="12.5" x14ac:dyDescent="0.25">
      <c r="C981" s="9"/>
    </row>
    <row r="982" spans="3:3" ht="12.5" x14ac:dyDescent="0.25">
      <c r="C982" s="9"/>
    </row>
    <row r="983" spans="3:3" ht="12.5" x14ac:dyDescent="0.25">
      <c r="C983" s="9"/>
    </row>
    <row r="984" spans="3:3" ht="12.5" x14ac:dyDescent="0.25">
      <c r="C984" s="9"/>
    </row>
    <row r="985" spans="3:3" ht="12.5" x14ac:dyDescent="0.25">
      <c r="C985" s="9"/>
    </row>
    <row r="986" spans="3:3" ht="12.5" x14ac:dyDescent="0.25">
      <c r="C986" s="9"/>
    </row>
    <row r="987" spans="3:3" ht="12.5" x14ac:dyDescent="0.25">
      <c r="C987" s="9"/>
    </row>
    <row r="988" spans="3:3" ht="12.5" x14ac:dyDescent="0.25">
      <c r="C988" s="9"/>
    </row>
    <row r="989" spans="3:3" ht="12.5" x14ac:dyDescent="0.25">
      <c r="C989" s="9"/>
    </row>
    <row r="990" spans="3:3" ht="12.5" x14ac:dyDescent="0.25">
      <c r="C990" s="9"/>
    </row>
    <row r="991" spans="3:3" ht="12.5" x14ac:dyDescent="0.25">
      <c r="C991" s="9"/>
    </row>
    <row r="992" spans="3:3" ht="12.5" x14ac:dyDescent="0.25">
      <c r="C992" s="9"/>
    </row>
    <row r="993" spans="3:3" ht="12.5" x14ac:dyDescent="0.25">
      <c r="C993" s="9"/>
    </row>
    <row r="994" spans="3:3" ht="12.5" x14ac:dyDescent="0.25">
      <c r="C994" s="9"/>
    </row>
    <row r="995" spans="3:3" ht="12.5" x14ac:dyDescent="0.25">
      <c r="C995" s="9"/>
    </row>
    <row r="996" spans="3:3" ht="12.5" x14ac:dyDescent="0.25">
      <c r="C996" s="9"/>
    </row>
    <row r="997" spans="3:3" ht="12.5" x14ac:dyDescent="0.25">
      <c r="C997" s="9"/>
    </row>
    <row r="998" spans="3:3" ht="12.5" x14ac:dyDescent="0.25">
      <c r="C998" s="9"/>
    </row>
    <row r="999" spans="3:3" ht="12.5" x14ac:dyDescent="0.25">
      <c r="C999" s="9"/>
    </row>
    <row r="1000" spans="3:3" ht="12.5" x14ac:dyDescent="0.25">
      <c r="C1000" s="9"/>
    </row>
    <row r="1001" spans="3:3" ht="12.5" x14ac:dyDescent="0.25">
      <c r="C1001" s="9"/>
    </row>
    <row r="1002" spans="3:3" ht="12.5" x14ac:dyDescent="0.25">
      <c r="C1002" s="9"/>
    </row>
  </sheetData>
  <mergeCells count="6">
    <mergeCell ref="A48:D48"/>
    <mergeCell ref="A5:D5"/>
    <mergeCell ref="A7:D7"/>
    <mergeCell ref="A17:D17"/>
    <mergeCell ref="A28:D28"/>
    <mergeCell ref="A39:D39"/>
  </mergeCells>
  <hyperlinks>
    <hyperlink ref="A4" r:id="rId1" xr:uid="{00000000-0004-0000-0200-000000000000}"/>
    <hyperlink ref="A48" location="Checklist!A1" display="Retour aux étapes" xr:uid="{00000000-0004-0000-0200-000001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K50"/>
  <sheetViews>
    <sheetView showGridLines="0" workbookViewId="0"/>
  </sheetViews>
  <sheetFormatPr baseColWidth="10" defaultColWidth="12.6328125" defaultRowHeight="15.75" customHeight="1" x14ac:dyDescent="0.25"/>
  <cols>
    <col min="3" max="4" width="18.36328125" customWidth="1"/>
    <col min="5" max="8" width="17.90625" customWidth="1"/>
    <col min="9" max="9" width="18.453125" customWidth="1"/>
    <col min="11" max="11" width="15.90625" customWidth="1"/>
    <col min="13" max="13" width="15.453125" customWidth="1"/>
    <col min="14" max="15" width="19.6328125" customWidth="1"/>
    <col min="16" max="16" width="20.6328125" customWidth="1"/>
    <col min="17" max="17" width="20.08984375" customWidth="1"/>
    <col min="19" max="19" width="16.08984375" customWidth="1"/>
  </cols>
  <sheetData>
    <row r="1" spans="1:37" ht="15.75" customHeigh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  <c r="O1" s="31"/>
      <c r="P1" s="31"/>
      <c r="Q1" s="31"/>
      <c r="R1" s="31"/>
      <c r="S1" s="31"/>
      <c r="T1" s="31"/>
      <c r="U1" s="31"/>
      <c r="V1" s="31"/>
      <c r="W1" s="31"/>
    </row>
    <row r="2" spans="1:37" ht="15.75" customHeight="1" x14ac:dyDescent="0.35">
      <c r="A2" s="31"/>
      <c r="B2" s="31"/>
      <c r="C2" s="31"/>
      <c r="D2" s="31"/>
      <c r="E2" s="31"/>
      <c r="F2" s="33"/>
      <c r="G2" s="31"/>
      <c r="H2" s="33" t="s">
        <v>89</v>
      </c>
      <c r="I2" s="31"/>
      <c r="J2" s="31"/>
      <c r="K2" s="31"/>
      <c r="L2" s="31"/>
      <c r="M2" s="31"/>
      <c r="N2" s="32"/>
      <c r="O2" s="31"/>
      <c r="P2" s="31"/>
      <c r="Q2" s="31"/>
      <c r="R2" s="31"/>
      <c r="S2" s="31"/>
      <c r="T2" s="31"/>
      <c r="U2" s="31"/>
      <c r="V2" s="31"/>
      <c r="W2" s="31"/>
    </row>
    <row r="3" spans="1:37" ht="15.7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  <c r="O3" s="31"/>
      <c r="P3" s="31"/>
      <c r="Q3" s="31"/>
      <c r="R3" s="31"/>
      <c r="S3" s="31"/>
      <c r="T3" s="31"/>
      <c r="U3" s="31"/>
      <c r="V3" s="31"/>
      <c r="W3" s="31"/>
    </row>
    <row r="4" spans="1:37" ht="15.75" customHeight="1" x14ac:dyDescent="0.35">
      <c r="A4" s="20" t="s">
        <v>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2"/>
      <c r="O4" s="31"/>
      <c r="P4" s="31"/>
      <c r="Q4" s="31"/>
      <c r="R4" s="31"/>
      <c r="S4" s="31"/>
      <c r="T4" s="31"/>
      <c r="U4" s="31"/>
      <c r="V4" s="31"/>
      <c r="W4" s="31"/>
    </row>
    <row r="5" spans="1:37" ht="15.75" customHeight="1" x14ac:dyDescent="0.35">
      <c r="A5" s="31"/>
      <c r="B5" s="31"/>
      <c r="C5" s="31"/>
      <c r="D5" s="31"/>
      <c r="E5" s="31"/>
      <c r="F5" s="31"/>
      <c r="G5" s="34" t="s">
        <v>88</v>
      </c>
      <c r="H5" s="34"/>
      <c r="I5" s="34"/>
      <c r="J5" s="34"/>
      <c r="K5" s="34" t="s">
        <v>88</v>
      </c>
      <c r="L5" s="31"/>
      <c r="M5" s="31"/>
      <c r="N5" s="32"/>
      <c r="O5" s="31"/>
      <c r="P5" s="34" t="s">
        <v>88</v>
      </c>
      <c r="Q5" s="31"/>
      <c r="R5" s="31"/>
      <c r="S5" s="31"/>
      <c r="T5" s="31"/>
      <c r="U5" s="31"/>
      <c r="V5" s="34" t="s">
        <v>88</v>
      </c>
      <c r="W5" s="31"/>
    </row>
    <row r="6" spans="1:37" ht="15.75" customHeight="1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  <c r="O6" s="31"/>
      <c r="P6" s="31"/>
      <c r="Q6" s="31"/>
      <c r="R6" s="31"/>
      <c r="S6" s="31"/>
      <c r="T6" s="31"/>
      <c r="U6" s="31"/>
      <c r="V6" s="31"/>
      <c r="W6" s="31"/>
    </row>
    <row r="7" spans="1:37" ht="15.75" customHeight="1" x14ac:dyDescent="0.25">
      <c r="A7" s="35" t="s">
        <v>90</v>
      </c>
      <c r="B7" s="35" t="s">
        <v>91</v>
      </c>
      <c r="C7" s="35" t="s">
        <v>92</v>
      </c>
      <c r="D7" s="35" t="s">
        <v>93</v>
      </c>
      <c r="E7" s="35" t="s">
        <v>94</v>
      </c>
      <c r="F7" s="35" t="s">
        <v>95</v>
      </c>
      <c r="G7" s="35" t="s">
        <v>96</v>
      </c>
      <c r="H7" s="35" t="s">
        <v>97</v>
      </c>
      <c r="I7" s="35" t="s">
        <v>98</v>
      </c>
      <c r="J7" s="35" t="s">
        <v>99</v>
      </c>
      <c r="K7" s="35" t="s">
        <v>100</v>
      </c>
      <c r="L7" s="35" t="s">
        <v>101</v>
      </c>
      <c r="M7" s="35" t="s">
        <v>102</v>
      </c>
      <c r="N7" s="35" t="s">
        <v>103</v>
      </c>
      <c r="O7" s="36" t="s">
        <v>52</v>
      </c>
      <c r="P7" s="37" t="s">
        <v>104</v>
      </c>
      <c r="Q7" s="37" t="s">
        <v>67</v>
      </c>
      <c r="R7" s="38" t="s">
        <v>105</v>
      </c>
      <c r="S7" s="35" t="s">
        <v>106</v>
      </c>
      <c r="T7" s="35" t="s">
        <v>107</v>
      </c>
      <c r="U7" s="35" t="s">
        <v>108</v>
      </c>
      <c r="V7" s="35" t="s">
        <v>109</v>
      </c>
      <c r="W7" s="35" t="s">
        <v>110</v>
      </c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</row>
    <row r="8" spans="1:37" ht="15.75" customHeight="1" x14ac:dyDescent="0.25">
      <c r="A8" s="40" t="s">
        <v>111</v>
      </c>
      <c r="B8" s="40" t="s">
        <v>112</v>
      </c>
      <c r="C8" s="40" t="s">
        <v>113</v>
      </c>
      <c r="D8" s="40" t="s">
        <v>114</v>
      </c>
      <c r="E8" s="41" t="s">
        <v>115</v>
      </c>
      <c r="F8" s="41">
        <v>100</v>
      </c>
      <c r="G8" s="42">
        <v>44075</v>
      </c>
      <c r="H8" s="43">
        <v>22000</v>
      </c>
      <c r="I8" s="43">
        <v>0</v>
      </c>
      <c r="J8" s="43">
        <v>0</v>
      </c>
      <c r="K8" s="43">
        <f t="shared" ref="K8:K12" si="0">SUM(H8:J8)</f>
        <v>22000</v>
      </c>
      <c r="L8" s="43">
        <v>960</v>
      </c>
      <c r="M8" s="43">
        <v>1500</v>
      </c>
      <c r="N8" s="43">
        <f t="shared" ref="N8:N12" si="1">K8*1.5</f>
        <v>33000</v>
      </c>
      <c r="O8" s="44" t="s">
        <v>57</v>
      </c>
      <c r="P8" s="40" t="s">
        <v>38</v>
      </c>
      <c r="Q8" s="40" t="s">
        <v>69</v>
      </c>
      <c r="R8" s="45" t="s">
        <v>81</v>
      </c>
      <c r="S8" s="46">
        <f>(K8/W8-U8-V8)/T8</f>
        <v>20000</v>
      </c>
      <c r="T8" s="41">
        <f>VLOOKUP(O8,'Tables personnalisées '!$B$19:$D$24,3,FALSE)</f>
        <v>1</v>
      </c>
      <c r="U8" s="47">
        <f>VLOOKUP(P8,'Tables personnalisées '!$B$9:$D$14,3,FALSE)</f>
        <v>2000</v>
      </c>
      <c r="V8" s="47">
        <f>VLOOKUP(Q8,'Tables personnalisées '!$B$30:$D$35,3,FALSE)</f>
        <v>0</v>
      </c>
      <c r="W8" s="41">
        <f>VLOOKUP(R8,'Tables personnalisées '!$B$41:$D$45,3,FALSE)</f>
        <v>1</v>
      </c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</row>
    <row r="9" spans="1:37" ht="15.75" customHeight="1" x14ac:dyDescent="0.25">
      <c r="A9" s="40" t="s">
        <v>116</v>
      </c>
      <c r="B9" s="40" t="s">
        <v>117</v>
      </c>
      <c r="C9" s="40" t="s">
        <v>113</v>
      </c>
      <c r="D9" s="40" t="s">
        <v>118</v>
      </c>
      <c r="E9" s="41" t="s">
        <v>119</v>
      </c>
      <c r="F9" s="41">
        <v>300</v>
      </c>
      <c r="G9" s="42">
        <v>31356</v>
      </c>
      <c r="H9" s="43">
        <v>55000</v>
      </c>
      <c r="I9" s="43">
        <v>3000</v>
      </c>
      <c r="J9" s="43">
        <v>2000</v>
      </c>
      <c r="K9" s="43">
        <f t="shared" si="0"/>
        <v>60000</v>
      </c>
      <c r="L9" s="43">
        <v>960</v>
      </c>
      <c r="M9" s="43">
        <v>2000</v>
      </c>
      <c r="N9" s="43">
        <f t="shared" si="1"/>
        <v>90000</v>
      </c>
      <c r="O9" s="44" t="s">
        <v>59</v>
      </c>
      <c r="P9" s="40" t="s">
        <v>41</v>
      </c>
      <c r="Q9" s="40" t="s">
        <v>72</v>
      </c>
      <c r="R9" s="45" t="s">
        <v>79</v>
      </c>
      <c r="S9" s="46">
        <f>(K9/(W9)-U9-V9)/(T9)</f>
        <v>36363.63636363636</v>
      </c>
      <c r="T9" s="41">
        <f>VLOOKUP(O9,'Tables personnalisées '!$B$19:$D$24,3,FALSE)</f>
        <v>1.1000000000000001</v>
      </c>
      <c r="U9" s="47">
        <f>VLOOKUP(P9,'Tables personnalisées '!$B$9:$D$14,3,FALSE)</f>
        <v>4000</v>
      </c>
      <c r="V9" s="47">
        <f>VLOOKUP(Q9,'Tables personnalisées '!$B$30:$D$35,3,FALSE)</f>
        <v>6000</v>
      </c>
      <c r="W9" s="41">
        <f>VLOOKUP(R9,'Tables personnalisées '!$B$41:$D$45,3,FALSE)</f>
        <v>1.2</v>
      </c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</row>
    <row r="10" spans="1:37" ht="15.75" customHeight="1" x14ac:dyDescent="0.25">
      <c r="A10" s="40" t="s">
        <v>120</v>
      </c>
      <c r="B10" s="40" t="s">
        <v>121</v>
      </c>
      <c r="C10" s="40" t="s">
        <v>113</v>
      </c>
      <c r="D10" s="40" t="s">
        <v>114</v>
      </c>
      <c r="E10" s="41" t="s">
        <v>115</v>
      </c>
      <c r="F10" s="41">
        <v>100</v>
      </c>
      <c r="G10" s="42">
        <v>42098</v>
      </c>
      <c r="H10" s="43">
        <v>33000</v>
      </c>
      <c r="I10" s="43">
        <v>2000</v>
      </c>
      <c r="J10" s="43">
        <v>1500</v>
      </c>
      <c r="K10" s="43">
        <f t="shared" si="0"/>
        <v>36500</v>
      </c>
      <c r="L10" s="43">
        <v>960</v>
      </c>
      <c r="M10" s="43">
        <v>1500</v>
      </c>
      <c r="N10" s="43">
        <f t="shared" si="1"/>
        <v>54750</v>
      </c>
      <c r="O10" s="44" t="s">
        <v>61</v>
      </c>
      <c r="P10" s="40" t="s">
        <v>44</v>
      </c>
      <c r="Q10" s="40" t="s">
        <v>69</v>
      </c>
      <c r="R10" s="45" t="s">
        <v>83</v>
      </c>
      <c r="S10" s="46">
        <f t="shared" ref="S10:S12" si="2">(K10/W10-U10-V10)/T10</f>
        <v>28061.594202898548</v>
      </c>
      <c r="T10" s="41">
        <f>VLOOKUP(O10,'Tables personnalisées '!$B$19:$D$24,3,FALSE)</f>
        <v>1.2</v>
      </c>
      <c r="U10" s="47">
        <f>VLOOKUP(P10,'Tables personnalisées '!$B$9:$D$14,3,FALSE)</f>
        <v>6000</v>
      </c>
      <c r="V10" s="47">
        <f>VLOOKUP(Q10,'Tables personnalisées '!$B$30:$D$35,3,FALSE)</f>
        <v>0</v>
      </c>
      <c r="W10" s="41">
        <f>VLOOKUP(R10,'Tables personnalisées '!$B$41:$D$45,3,FALSE)</f>
        <v>0.92</v>
      </c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</row>
    <row r="11" spans="1:37" ht="15.75" customHeight="1" x14ac:dyDescent="0.25">
      <c r="A11" s="40" t="s">
        <v>122</v>
      </c>
      <c r="B11" s="40" t="s">
        <v>123</v>
      </c>
      <c r="C11" s="40" t="s">
        <v>124</v>
      </c>
      <c r="D11" s="40" t="s">
        <v>125</v>
      </c>
      <c r="E11" s="41" t="s">
        <v>119</v>
      </c>
      <c r="F11" s="41">
        <v>200</v>
      </c>
      <c r="G11" s="42">
        <v>39054</v>
      </c>
      <c r="H11" s="43">
        <v>55000</v>
      </c>
      <c r="I11" s="43">
        <v>3000</v>
      </c>
      <c r="J11" s="43">
        <v>2000</v>
      </c>
      <c r="K11" s="43">
        <f t="shared" si="0"/>
        <v>60000</v>
      </c>
      <c r="L11" s="43">
        <v>1200</v>
      </c>
      <c r="M11" s="43">
        <v>2000</v>
      </c>
      <c r="N11" s="43">
        <f t="shared" si="1"/>
        <v>90000</v>
      </c>
      <c r="O11" s="44" t="s">
        <v>59</v>
      </c>
      <c r="P11" s="40" t="s">
        <v>41</v>
      </c>
      <c r="Q11" s="40" t="s">
        <v>72</v>
      </c>
      <c r="R11" s="45" t="s">
        <v>79</v>
      </c>
      <c r="S11" s="46">
        <f t="shared" si="2"/>
        <v>36363.63636363636</v>
      </c>
      <c r="T11" s="41">
        <f>VLOOKUP(O11,'Tables personnalisées '!$B$19:$D$24,3,FALSE)</f>
        <v>1.1000000000000001</v>
      </c>
      <c r="U11" s="47">
        <f>VLOOKUP(P11,'Tables personnalisées '!$B$9:$D$14,3,FALSE)</f>
        <v>4000</v>
      </c>
      <c r="V11" s="47">
        <f>VLOOKUP(Q11,'Tables personnalisées '!$B$30:$D$35,3,FALSE)</f>
        <v>6000</v>
      </c>
      <c r="W11" s="41">
        <f>VLOOKUP(R11,'Tables personnalisées '!$B$41:$D$45,3,FALSE)</f>
        <v>1.2</v>
      </c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</row>
    <row r="12" spans="1:37" ht="15.75" customHeight="1" x14ac:dyDescent="0.25">
      <c r="A12" s="40" t="s">
        <v>126</v>
      </c>
      <c r="B12" s="40" t="s">
        <v>127</v>
      </c>
      <c r="C12" s="40" t="s">
        <v>124</v>
      </c>
      <c r="D12" s="40" t="s">
        <v>128</v>
      </c>
      <c r="E12" s="41" t="s">
        <v>115</v>
      </c>
      <c r="F12" s="41">
        <v>100</v>
      </c>
      <c r="G12" s="42">
        <v>43316</v>
      </c>
      <c r="H12" s="43">
        <v>25000</v>
      </c>
      <c r="I12" s="43">
        <v>3000</v>
      </c>
      <c r="J12" s="43">
        <v>1500</v>
      </c>
      <c r="K12" s="43">
        <f t="shared" si="0"/>
        <v>29500</v>
      </c>
      <c r="L12" s="43">
        <v>960</v>
      </c>
      <c r="M12" s="43">
        <v>1000</v>
      </c>
      <c r="N12" s="43">
        <f t="shared" si="1"/>
        <v>44250</v>
      </c>
      <c r="O12" s="48" t="s">
        <v>59</v>
      </c>
      <c r="P12" s="49" t="s">
        <v>41</v>
      </c>
      <c r="Q12" s="49" t="s">
        <v>69</v>
      </c>
      <c r="R12" s="50" t="s">
        <v>85</v>
      </c>
      <c r="S12" s="46">
        <f t="shared" si="2"/>
        <v>24299.242424242424</v>
      </c>
      <c r="T12" s="41">
        <f>VLOOKUP(O12,'Tables personnalisées '!$B$19:$D$24,3,FALSE)</f>
        <v>1.1000000000000001</v>
      </c>
      <c r="U12" s="47">
        <f>VLOOKUP(P12,'Tables personnalisées '!$B$9:$D$14,3,FALSE)</f>
        <v>4000</v>
      </c>
      <c r="V12" s="47">
        <f>VLOOKUP(Q12,'Tables personnalisées '!$B$30:$D$35,3,FALSE)</f>
        <v>0</v>
      </c>
      <c r="W12" s="41">
        <f>VLOOKUP(R12,'Tables personnalisées '!$B$41:$D$45,3,FALSE)</f>
        <v>0.96</v>
      </c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</row>
    <row r="13" spans="1:37" ht="15.75" customHeight="1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51" t="s">
        <v>129</v>
      </c>
      <c r="T13" s="51" t="s">
        <v>129</v>
      </c>
      <c r="U13" s="51" t="s">
        <v>129</v>
      </c>
      <c r="V13" s="51" t="s">
        <v>129</v>
      </c>
      <c r="W13" s="51" t="s">
        <v>129</v>
      </c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</row>
    <row r="14" spans="1:37" ht="15.75" customHeight="1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</row>
    <row r="15" spans="1:37" ht="15.7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</row>
    <row r="16" spans="1:37" ht="15.75" customHeight="1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</row>
    <row r="17" spans="1:37" ht="15.75" customHeight="1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</row>
    <row r="18" spans="1:37" ht="15.75" customHeight="1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</row>
    <row r="19" spans="1:37" ht="15.75" customHeight="1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</row>
    <row r="20" spans="1:37" ht="15.75" customHeight="1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</row>
    <row r="21" spans="1:37" ht="15.75" customHeight="1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</row>
    <row r="22" spans="1:37" ht="15.75" customHeight="1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</row>
    <row r="23" spans="1:37" ht="15.75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</row>
    <row r="24" spans="1:37" ht="15.75" customHeight="1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</row>
    <row r="25" spans="1:37" ht="15.75" customHeight="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</row>
    <row r="26" spans="1:37" ht="15.75" customHeight="1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</row>
    <row r="27" spans="1:37" ht="15.75" customHeight="1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</row>
    <row r="28" spans="1:37" ht="15.75" customHeight="1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</row>
    <row r="29" spans="1:37" ht="15.75" customHeight="1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</row>
    <row r="30" spans="1:37" ht="12.5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</row>
    <row r="31" spans="1:37" ht="12.5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</row>
    <row r="32" spans="1:37" ht="12.5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</row>
    <row r="33" spans="1:37" ht="12.5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</row>
    <row r="34" spans="1:37" ht="12.5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</row>
    <row r="35" spans="1:37" ht="12.5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</row>
    <row r="36" spans="1:37" ht="12.5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</row>
    <row r="37" spans="1:37" ht="12.5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</row>
    <row r="38" spans="1:37" ht="12.5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</row>
    <row r="39" spans="1:37" ht="12.5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</row>
    <row r="40" spans="1:37" ht="12.5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</row>
    <row r="41" spans="1:37" ht="12.5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</row>
    <row r="42" spans="1:37" ht="12.5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</row>
    <row r="43" spans="1:37" ht="12.5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</row>
    <row r="44" spans="1:37" ht="12.5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</row>
    <row r="45" spans="1:37" ht="12.5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</row>
    <row r="46" spans="1:37" ht="12.5" x14ac:dyDescent="0.2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</row>
    <row r="47" spans="1:37" ht="12.5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</row>
    <row r="48" spans="1:37" ht="12.5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</row>
    <row r="49" spans="1:37" ht="12.5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</row>
    <row r="50" spans="1:37" ht="12.5" x14ac:dyDescent="0.2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</row>
  </sheetData>
  <hyperlinks>
    <hyperlink ref="A4" r:id="rId1" xr:uid="{00000000-0004-0000-0300-000000000000}"/>
    <hyperlink ref="G5" location="Checklist!A1" display="Retour aux étapes" xr:uid="{00000000-0004-0000-0300-000001000000}"/>
    <hyperlink ref="K5" location="Checklist!A1" display="Retour aux étapes" xr:uid="{00000000-0004-0000-0300-000002000000}"/>
    <hyperlink ref="P5" location="Checklist!A1" display="Retour aux étapes" xr:uid="{00000000-0004-0000-0300-000003000000}"/>
    <hyperlink ref="V5" location="Checklist!A1" display="Retour aux étapes" xr:uid="{00000000-0004-0000-0300-000004000000}"/>
  </hyperlinks>
  <pageMargins left="0.7" right="0.7" top="0.75" bottom="0.75" header="0.3" footer="0.3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'Tables personnalisées '!$B$30:$B$35</xm:f>
          </x14:formula1>
          <xm:sqref>Q8:Q45</xm:sqref>
        </x14:dataValidation>
        <x14:dataValidation type="list" allowBlank="1" xr:uid="{00000000-0002-0000-0300-000001000000}">
          <x14:formula1>
            <xm:f>'Tables personnalisées '!$B$19:$B$24</xm:f>
          </x14:formula1>
          <xm:sqref>O8:O45</xm:sqref>
        </x14:dataValidation>
        <x14:dataValidation type="list" allowBlank="1" xr:uid="{00000000-0002-0000-0300-000002000000}">
          <x14:formula1>
            <xm:f>'Tables personnalisées '!$B$9:$B$14</xm:f>
          </x14:formula1>
          <xm:sqref>P8:P45</xm:sqref>
        </x14:dataValidation>
        <x14:dataValidation type="list" allowBlank="1" xr:uid="{00000000-0002-0000-0300-000003000000}">
          <x14:formula1>
            <xm:f>'Tables personnalisées '!$B$41:$B$45</xm:f>
          </x14:formula1>
          <xm:sqref>R8:R45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6B26B"/>
    <outlinePr summaryBelow="0" summaryRight="0"/>
  </sheetPr>
  <dimension ref="A1:E39"/>
  <sheetViews>
    <sheetView showGridLines="0" workbookViewId="0"/>
  </sheetViews>
  <sheetFormatPr baseColWidth="10" defaultColWidth="12.6328125" defaultRowHeight="15.75" customHeight="1" x14ac:dyDescent="0.25"/>
  <cols>
    <col min="1" max="1" width="21.6328125" customWidth="1"/>
    <col min="2" max="5" width="29.90625" customWidth="1"/>
  </cols>
  <sheetData>
    <row r="1" spans="1:5" ht="15.75" customHeight="1" x14ac:dyDescent="0.35">
      <c r="A1" s="52"/>
      <c r="B1" s="52"/>
      <c r="C1" s="52"/>
      <c r="D1" s="52"/>
      <c r="E1" s="52"/>
    </row>
    <row r="2" spans="1:5" ht="15.75" customHeight="1" x14ac:dyDescent="0.35">
      <c r="A2" s="52"/>
      <c r="B2" s="52"/>
      <c r="C2" s="52"/>
      <c r="D2" s="33" t="s">
        <v>130</v>
      </c>
      <c r="E2" s="52"/>
    </row>
    <row r="3" spans="1:5" ht="15.75" customHeight="1" x14ac:dyDescent="0.35">
      <c r="A3" s="20" t="s">
        <v>0</v>
      </c>
      <c r="B3" s="52"/>
      <c r="C3" s="52"/>
      <c r="D3" s="52"/>
      <c r="E3" s="34" t="s">
        <v>88</v>
      </c>
    </row>
    <row r="4" spans="1:5" ht="15.75" customHeight="1" x14ac:dyDescent="0.35">
      <c r="A4" s="53"/>
      <c r="B4" s="53"/>
      <c r="C4" s="53"/>
      <c r="D4" s="53"/>
      <c r="E4" s="53"/>
    </row>
    <row r="5" spans="1:5" ht="15.75" customHeight="1" x14ac:dyDescent="0.35">
      <c r="A5" s="70" t="s">
        <v>131</v>
      </c>
      <c r="B5" s="67"/>
      <c r="C5" s="67"/>
      <c r="D5" s="67"/>
      <c r="E5" s="67"/>
    </row>
    <row r="7" spans="1:5" ht="15.75" customHeight="1" x14ac:dyDescent="0.25">
      <c r="A7" s="31" t="s">
        <v>92</v>
      </c>
      <c r="B7" s="31" t="s">
        <v>132</v>
      </c>
      <c r="C7" s="31" t="s">
        <v>133</v>
      </c>
      <c r="D7" s="31" t="s">
        <v>134</v>
      </c>
      <c r="E7" s="31" t="s">
        <v>135</v>
      </c>
    </row>
    <row r="8" spans="1:5" ht="15.75" customHeight="1" x14ac:dyDescent="0.25">
      <c r="A8" s="31"/>
      <c r="B8" s="32">
        <v>0</v>
      </c>
      <c r="C8" s="32">
        <v>0</v>
      </c>
      <c r="D8" s="32" t="e">
        <v>#NUM!</v>
      </c>
      <c r="E8" s="32">
        <v>0</v>
      </c>
    </row>
    <row r="9" spans="1:5" ht="15.75" customHeight="1" x14ac:dyDescent="0.25">
      <c r="A9" s="31" t="s">
        <v>124</v>
      </c>
      <c r="B9" s="32">
        <v>2</v>
      </c>
      <c r="C9" s="54">
        <v>29500</v>
      </c>
      <c r="D9" s="54">
        <v>44750</v>
      </c>
      <c r="E9" s="54">
        <v>60000</v>
      </c>
    </row>
    <row r="10" spans="1:5" ht="15.75" customHeight="1" x14ac:dyDescent="0.25">
      <c r="A10" s="31" t="s">
        <v>113</v>
      </c>
      <c r="B10" s="32">
        <v>3</v>
      </c>
      <c r="C10" s="54">
        <v>22000</v>
      </c>
      <c r="D10" s="54">
        <v>36500</v>
      </c>
      <c r="E10" s="54">
        <v>60000</v>
      </c>
    </row>
    <row r="14" spans="1:5" ht="15.75" customHeight="1" x14ac:dyDescent="0.25">
      <c r="A14" s="31" t="s">
        <v>93</v>
      </c>
      <c r="B14" s="31" t="s">
        <v>132</v>
      </c>
      <c r="C14" s="31" t="s">
        <v>133</v>
      </c>
      <c r="D14" s="31" t="s">
        <v>134</v>
      </c>
      <c r="E14" s="31" t="s">
        <v>135</v>
      </c>
    </row>
    <row r="15" spans="1:5" ht="15.75" customHeight="1" x14ac:dyDescent="0.25">
      <c r="A15" s="31"/>
      <c r="B15" s="32">
        <v>0</v>
      </c>
      <c r="C15" s="32">
        <v>0</v>
      </c>
      <c r="D15" s="32" t="e">
        <v>#NUM!</v>
      </c>
      <c r="E15" s="32">
        <v>0</v>
      </c>
    </row>
    <row r="16" spans="1:5" ht="15.75" customHeight="1" x14ac:dyDescent="0.25">
      <c r="A16" s="31" t="s">
        <v>128</v>
      </c>
      <c r="B16" s="32">
        <v>1</v>
      </c>
      <c r="C16" s="54">
        <v>29500</v>
      </c>
      <c r="D16" s="54">
        <v>29500</v>
      </c>
      <c r="E16" s="54">
        <v>29500</v>
      </c>
    </row>
    <row r="17" spans="1:5" ht="15.75" customHeight="1" x14ac:dyDescent="0.25">
      <c r="A17" s="31" t="s">
        <v>114</v>
      </c>
      <c r="B17" s="32">
        <v>2</v>
      </c>
      <c r="C17" s="54">
        <v>22000</v>
      </c>
      <c r="D17" s="54">
        <v>29250</v>
      </c>
      <c r="E17" s="54">
        <v>36500</v>
      </c>
    </row>
    <row r="18" spans="1:5" ht="15.75" customHeight="1" x14ac:dyDescent="0.25">
      <c r="A18" s="31" t="s">
        <v>125</v>
      </c>
      <c r="B18" s="32">
        <v>1</v>
      </c>
      <c r="C18" s="54">
        <v>60000</v>
      </c>
      <c r="D18" s="54">
        <v>60000</v>
      </c>
      <c r="E18" s="54">
        <v>60000</v>
      </c>
    </row>
    <row r="19" spans="1:5" ht="15.75" customHeight="1" x14ac:dyDescent="0.25">
      <c r="A19" s="31" t="s">
        <v>118</v>
      </c>
      <c r="B19" s="32">
        <v>1</v>
      </c>
      <c r="C19" s="54">
        <v>60000</v>
      </c>
      <c r="D19" s="54">
        <v>60000</v>
      </c>
      <c r="E19" s="54">
        <v>60000</v>
      </c>
    </row>
    <row r="23" spans="1:5" ht="15.75" customHeight="1" x14ac:dyDescent="0.4">
      <c r="A23" s="71" t="s">
        <v>136</v>
      </c>
      <c r="B23" s="67"/>
      <c r="C23" s="67"/>
      <c r="D23" s="67"/>
      <c r="E23" s="67"/>
    </row>
    <row r="25" spans="1:5" ht="15.75" customHeight="1" x14ac:dyDescent="0.25">
      <c r="A25" s="31" t="s">
        <v>93</v>
      </c>
      <c r="B25" s="32" t="s">
        <v>137</v>
      </c>
      <c r="C25" s="32" t="s">
        <v>138</v>
      </c>
      <c r="D25" s="32" t="s">
        <v>139</v>
      </c>
    </row>
    <row r="26" spans="1:5" ht="15.75" customHeight="1" x14ac:dyDescent="0.25">
      <c r="A26" s="31"/>
      <c r="B26" s="32">
        <v>0</v>
      </c>
      <c r="C26" s="32" t="e">
        <v>#NUM!</v>
      </c>
      <c r="D26" s="32">
        <v>0</v>
      </c>
    </row>
    <row r="27" spans="1:5" ht="15.75" customHeight="1" x14ac:dyDescent="0.25">
      <c r="A27" s="31" t="s">
        <v>128</v>
      </c>
      <c r="B27" s="54">
        <v>24299.242424242424</v>
      </c>
      <c r="C27" s="54">
        <v>24299.242424242424</v>
      </c>
      <c r="D27" s="54">
        <v>24299.242424242424</v>
      </c>
    </row>
    <row r="28" spans="1:5" ht="15.75" customHeight="1" x14ac:dyDescent="0.25">
      <c r="A28" s="31" t="s">
        <v>114</v>
      </c>
      <c r="B28" s="54">
        <v>20000</v>
      </c>
      <c r="C28" s="54">
        <v>24030.797101449272</v>
      </c>
      <c r="D28" s="54">
        <v>28061.594202898548</v>
      </c>
    </row>
    <row r="29" spans="1:5" ht="15.75" customHeight="1" x14ac:dyDescent="0.25">
      <c r="A29" s="31" t="s">
        <v>125</v>
      </c>
      <c r="B29" s="54">
        <v>36363.63636363636</v>
      </c>
      <c r="C29" s="54">
        <v>36363.63636363636</v>
      </c>
      <c r="D29" s="54">
        <v>36363.63636363636</v>
      </c>
    </row>
    <row r="30" spans="1:5" ht="12.5" x14ac:dyDescent="0.25">
      <c r="A30" s="31" t="s">
        <v>118</v>
      </c>
      <c r="B30" s="54">
        <v>36363.63636363636</v>
      </c>
      <c r="C30" s="54">
        <v>36363.63636363636</v>
      </c>
      <c r="D30" s="54">
        <v>36363.63636363636</v>
      </c>
    </row>
    <row r="33" spans="1:5" ht="12.5" x14ac:dyDescent="0.25">
      <c r="A33" s="31" t="s">
        <v>92</v>
      </c>
      <c r="B33" s="32" t="s">
        <v>137</v>
      </c>
      <c r="C33" s="32" t="s">
        <v>138</v>
      </c>
      <c r="D33" s="32" t="s">
        <v>139</v>
      </c>
    </row>
    <row r="34" spans="1:5" ht="12.5" x14ac:dyDescent="0.25">
      <c r="A34" s="31"/>
      <c r="B34" s="32">
        <v>0</v>
      </c>
      <c r="C34" s="32" t="e">
        <v>#NUM!</v>
      </c>
      <c r="D34" s="32">
        <v>0</v>
      </c>
    </row>
    <row r="35" spans="1:5" ht="12.5" x14ac:dyDescent="0.25">
      <c r="A35" s="31" t="s">
        <v>124</v>
      </c>
      <c r="B35" s="54">
        <v>24299.242424242424</v>
      </c>
      <c r="C35" s="54">
        <v>30331.439393939392</v>
      </c>
      <c r="D35" s="54">
        <v>36363.63636363636</v>
      </c>
    </row>
    <row r="36" spans="1:5" ht="12.5" x14ac:dyDescent="0.25">
      <c r="A36" s="31" t="s">
        <v>113</v>
      </c>
      <c r="B36" s="54">
        <v>20000</v>
      </c>
      <c r="C36" s="54">
        <v>28061.594202898548</v>
      </c>
      <c r="D36" s="54">
        <v>36363.63636363636</v>
      </c>
    </row>
    <row r="39" spans="1:5" ht="15.5" x14ac:dyDescent="0.35">
      <c r="E39" s="34" t="s">
        <v>88</v>
      </c>
    </row>
  </sheetData>
  <mergeCells count="2">
    <mergeCell ref="A5:E5"/>
    <mergeCell ref="A23:E23"/>
  </mergeCells>
  <hyperlinks>
    <hyperlink ref="A3" r:id="rId1" xr:uid="{00000000-0004-0000-0400-000000000000}"/>
    <hyperlink ref="E3" location="Checklist!A1" display="Retour aux étapes" xr:uid="{00000000-0004-0000-0400-000001000000}"/>
    <hyperlink ref="E39" location="Checklist!A1" display="Retour aux étapes" xr:uid="{00000000-0004-0000-0400-000002000000}"/>
  </hyperlinks>
  <pageMargins left="0.7" right="0.7" top="0.75" bottom="0.75" header="0.3" footer="0.3"/>
  <drawing r:id="rId2"/>
  <tableParts count="4"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33"/>
  <sheetViews>
    <sheetView showGridLines="0" workbookViewId="0"/>
  </sheetViews>
  <sheetFormatPr baseColWidth="10" defaultColWidth="12.6328125" defaultRowHeight="15.75" customHeight="1" x14ac:dyDescent="0.25"/>
  <cols>
    <col min="1" max="1" width="19.90625" customWidth="1"/>
    <col min="2" max="2" width="18.90625" customWidth="1"/>
    <col min="3" max="3" width="22.453125" customWidth="1"/>
    <col min="4" max="4" width="19.26953125" customWidth="1"/>
    <col min="5" max="5" width="19.90625" customWidth="1"/>
    <col min="6" max="6" width="19.36328125" customWidth="1"/>
    <col min="7" max="7" width="22.453125" customWidth="1"/>
    <col min="8" max="8" width="17.08984375" customWidth="1"/>
    <col min="10" max="10" width="46.7265625" customWidth="1"/>
  </cols>
  <sheetData>
    <row r="1" spans="1:30" ht="15.75" customHeight="1" x14ac:dyDescent="0.35">
      <c r="A1" s="52"/>
      <c r="B1" s="52"/>
      <c r="C1" s="52"/>
      <c r="D1" s="52"/>
      <c r="E1" s="52"/>
    </row>
    <row r="2" spans="1:30" ht="15.75" customHeight="1" x14ac:dyDescent="0.35">
      <c r="A2" s="52"/>
      <c r="B2" s="52"/>
      <c r="C2" s="52"/>
      <c r="D2" s="52"/>
      <c r="E2" s="33"/>
      <c r="G2" s="33" t="s">
        <v>140</v>
      </c>
    </row>
    <row r="3" spans="1:30" ht="15.75" customHeight="1" x14ac:dyDescent="0.35">
      <c r="A3" s="20" t="s">
        <v>0</v>
      </c>
      <c r="B3" s="52"/>
      <c r="C3" s="52"/>
      <c r="D3" s="52"/>
      <c r="E3" s="34" t="s">
        <v>88</v>
      </c>
    </row>
    <row r="4" spans="1:30" ht="15.75" customHeight="1" x14ac:dyDescent="0.35">
      <c r="A4" s="53"/>
      <c r="B4" s="53"/>
      <c r="C4" s="53"/>
      <c r="D4" s="53"/>
      <c r="E4" s="53"/>
    </row>
    <row r="6" spans="1:30" ht="15.75" customHeight="1" x14ac:dyDescent="0.25">
      <c r="A6" s="31" t="s">
        <v>141</v>
      </c>
      <c r="B6" s="55" t="s">
        <v>142</v>
      </c>
      <c r="C6" s="32" t="s">
        <v>143</v>
      </c>
      <c r="D6" s="32" t="s">
        <v>144</v>
      </c>
      <c r="E6" s="32" t="s">
        <v>145</v>
      </c>
      <c r="F6" s="32" t="s">
        <v>146</v>
      </c>
      <c r="G6" s="32" t="s">
        <v>147</v>
      </c>
      <c r="H6" s="56" t="s">
        <v>148</v>
      </c>
      <c r="I6" s="32" t="s">
        <v>149</v>
      </c>
      <c r="J6" s="31" t="s">
        <v>150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15.75" customHeight="1" x14ac:dyDescent="0.25">
      <c r="A7" s="31" t="s">
        <v>114</v>
      </c>
      <c r="B7" s="57">
        <v>18000</v>
      </c>
      <c r="C7" s="54">
        <f>VLOOKUP(A7,'Grille des salaires'!$A$25:$B$30,2,FALSE)</f>
        <v>20000</v>
      </c>
      <c r="D7" s="54">
        <f>VLOOKUP(A7,'Grille des salaires'!$A$14:$E$20,3,FALSE)</f>
        <v>22000</v>
      </c>
      <c r="E7" s="58">
        <v>24000</v>
      </c>
      <c r="F7" s="58">
        <v>28000</v>
      </c>
      <c r="G7" s="58">
        <v>22000</v>
      </c>
      <c r="H7" s="59">
        <f t="shared" ref="H7:H10" si="0">AVERAGE(B7:G7)</f>
        <v>22333.333333333332</v>
      </c>
      <c r="I7" s="60">
        <v>44747</v>
      </c>
      <c r="J7" s="31" t="s">
        <v>151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15.75" customHeight="1" x14ac:dyDescent="0.25">
      <c r="A8" s="31" t="s">
        <v>118</v>
      </c>
      <c r="B8" s="57">
        <v>33000</v>
      </c>
      <c r="C8" s="54">
        <f>VLOOKUP(A8,'Grille des salaires'!$A$25:$B$30,2,FALSE)</f>
        <v>36363.63636363636</v>
      </c>
      <c r="D8" s="54">
        <f>VLOOKUP(A8,'Grille des salaires'!$A$14:$E$20,3,FALSE)</f>
        <v>60000</v>
      </c>
      <c r="E8" s="58">
        <v>35000</v>
      </c>
      <c r="F8" s="58">
        <v>36000</v>
      </c>
      <c r="G8" s="58">
        <v>30000</v>
      </c>
      <c r="H8" s="59">
        <f t="shared" si="0"/>
        <v>38393.939393939392</v>
      </c>
      <c r="I8" s="60">
        <v>44748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15.75" customHeight="1" x14ac:dyDescent="0.25">
      <c r="A9" s="31" t="s">
        <v>128</v>
      </c>
      <c r="B9" s="57">
        <v>22000</v>
      </c>
      <c r="C9" s="54">
        <f>VLOOKUP(A9,'Grille des salaires'!$A$25:$B$30,2,FALSE)</f>
        <v>24299.242424242424</v>
      </c>
      <c r="D9" s="54">
        <f>VLOOKUP(A9,'Grille des salaires'!$A$14:$E$20,3,FALSE)</f>
        <v>29500</v>
      </c>
      <c r="E9" s="58">
        <v>38000</v>
      </c>
      <c r="F9" s="58">
        <v>35000</v>
      </c>
      <c r="G9" s="58">
        <v>35000</v>
      </c>
      <c r="H9" s="59">
        <f t="shared" si="0"/>
        <v>30633.207070707071</v>
      </c>
      <c r="I9" s="60">
        <v>44748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15.75" customHeight="1" x14ac:dyDescent="0.25">
      <c r="A10" s="31" t="s">
        <v>125</v>
      </c>
      <c r="B10" s="57">
        <v>35000</v>
      </c>
      <c r="C10" s="54">
        <f>VLOOKUP(A10,'Grille des salaires'!$A$25:$B$30,2,FALSE)</f>
        <v>36363.63636363636</v>
      </c>
      <c r="D10" s="54">
        <f>VLOOKUP(A10,'Grille des salaires'!$A$14:$E$20,3,FALSE)</f>
        <v>60000</v>
      </c>
      <c r="E10" s="58">
        <v>42000</v>
      </c>
      <c r="F10" s="58">
        <v>50000</v>
      </c>
      <c r="G10" s="58">
        <v>38000</v>
      </c>
      <c r="H10" s="59">
        <f t="shared" si="0"/>
        <v>43560.606060606056</v>
      </c>
      <c r="I10" s="60">
        <v>44749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x14ac:dyDescent="0.3">
      <c r="A11" s="31" t="s">
        <v>152</v>
      </c>
      <c r="B11" s="61" t="s">
        <v>153</v>
      </c>
      <c r="C11" s="54"/>
      <c r="D11" s="31"/>
      <c r="E11" s="61" t="s">
        <v>153</v>
      </c>
      <c r="F11" s="61" t="s">
        <v>153</v>
      </c>
      <c r="G11" s="61" t="s">
        <v>153</v>
      </c>
      <c r="H11" s="31"/>
      <c r="I11" s="61" t="s">
        <v>153</v>
      </c>
      <c r="J11" s="61" t="s">
        <v>154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15.75" customHeight="1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15.75" customHeight="1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15.7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15.7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15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5.7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15.75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15.75" customHeight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15.7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15.75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15.75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15.75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ht="15.75" customHeight="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 ht="15.75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 ht="15.75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 ht="15.7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 ht="15.7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 ht="15.7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 ht="12.5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 ht="12.5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 ht="12.5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ht="12.5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</sheetData>
  <hyperlinks>
    <hyperlink ref="A3" r:id="rId1" xr:uid="{00000000-0004-0000-0500-000000000000}"/>
    <hyperlink ref="E3" location="Checklist!A1" display="Retour aux étapes" xr:uid="{00000000-0004-0000-0500-000001000000}"/>
  </hyperlinks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44"/>
  <sheetViews>
    <sheetView showGridLines="0" workbookViewId="0"/>
  </sheetViews>
  <sheetFormatPr baseColWidth="10" defaultColWidth="12.6328125" defaultRowHeight="15.75" customHeight="1" x14ac:dyDescent="0.25"/>
  <cols>
    <col min="1" max="2" width="15.7265625" customWidth="1"/>
    <col min="3" max="5" width="16.36328125" customWidth="1"/>
    <col min="6" max="7" width="19.08984375" customWidth="1"/>
    <col min="11" max="12" width="37" customWidth="1"/>
  </cols>
  <sheetData>
    <row r="1" spans="1:12" ht="15.75" customHeigh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.75" customHeight="1" x14ac:dyDescent="0.35">
      <c r="A2" s="31"/>
      <c r="B2" s="31"/>
      <c r="C2" s="31"/>
      <c r="D2" s="31"/>
      <c r="E2" s="31"/>
      <c r="F2" s="31"/>
      <c r="G2" s="33" t="s">
        <v>155</v>
      </c>
      <c r="H2" s="31"/>
      <c r="I2" s="31"/>
      <c r="J2" s="31"/>
      <c r="K2" s="31"/>
      <c r="L2" s="31"/>
    </row>
    <row r="3" spans="1:12" ht="15.7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15.75" customHeight="1" x14ac:dyDescent="0.35">
      <c r="A4" s="20" t="s">
        <v>0</v>
      </c>
      <c r="B4" s="31"/>
      <c r="C4" s="31"/>
      <c r="D4" s="31"/>
      <c r="E4" s="31"/>
      <c r="F4" s="34" t="s">
        <v>88</v>
      </c>
      <c r="G4" s="31"/>
      <c r="H4" s="31"/>
      <c r="I4" s="31"/>
      <c r="J4" s="31"/>
      <c r="K4" s="31"/>
      <c r="L4" s="31"/>
    </row>
    <row r="5" spans="1:12" ht="15.75" customHeight="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ht="15.75" customHeight="1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ht="15.75" customHeight="1" x14ac:dyDescent="0.25">
      <c r="A7" s="31" t="s">
        <v>90</v>
      </c>
      <c r="B7" s="31" t="s">
        <v>91</v>
      </c>
      <c r="C7" s="31" t="s">
        <v>156</v>
      </c>
      <c r="D7" s="31" t="s">
        <v>93</v>
      </c>
      <c r="E7" s="32" t="s">
        <v>100</v>
      </c>
      <c r="F7" s="32" t="s">
        <v>157</v>
      </c>
      <c r="G7" s="32" t="s">
        <v>158</v>
      </c>
      <c r="H7" s="32" t="s">
        <v>159</v>
      </c>
      <c r="I7" s="32" t="s">
        <v>160</v>
      </c>
      <c r="J7" s="32" t="s">
        <v>161</v>
      </c>
      <c r="K7" s="32" t="s">
        <v>162</v>
      </c>
      <c r="L7" s="32" t="s">
        <v>163</v>
      </c>
    </row>
    <row r="8" spans="1:12" ht="15.75" customHeight="1" x14ac:dyDescent="0.25">
      <c r="A8" s="31" t="s">
        <v>111</v>
      </c>
      <c r="B8" s="31" t="s">
        <v>112</v>
      </c>
      <c r="C8" s="31" t="s">
        <v>113</v>
      </c>
      <c r="D8" s="31" t="s">
        <v>114</v>
      </c>
      <c r="E8" s="54">
        <f>VLOOKUP(A8,'Etablir la grille interne'!$A$8:$K$12,11,FALSE)</f>
        <v>22000</v>
      </c>
      <c r="F8" s="54">
        <f>VLOOKUP(D8,'Bench externe des salaires'!$A$7:$R$14,8,FALSE)</f>
        <v>22333.333333333332</v>
      </c>
      <c r="G8" s="54">
        <f>VLOOKUP(C8,'Grille des salaires'!$A$7:$E$11,3,FALSE)</f>
        <v>22000</v>
      </c>
      <c r="H8" s="54">
        <f>VLOOKUP(A8,'Etablir la grille interne'!$A$8:$W$12,19,FALSE)</f>
        <v>20000</v>
      </c>
      <c r="I8" s="54">
        <f>VLOOKUP(D8,'Grille des salaires'!$A$25:$D$30,2,FALSE)</f>
        <v>20000</v>
      </c>
      <c r="J8" s="54">
        <f>VLOOKUP(C8,'Grille des salaires'!$A$33:$D$36,2,FALSE)</f>
        <v>20000</v>
      </c>
      <c r="K8" s="32" t="str">
        <f t="shared" ref="K8:K12" si="0">IF(E8&lt;F8,"Alerte ! le marché est plus favorable","ok")</f>
        <v>Alerte ! le marché est plus favorable</v>
      </c>
      <c r="L8" s="32" t="str">
        <f t="shared" ref="L8:L12" si="1">IF(H8=I8,"Restez vigilant à l'évolution sur le poste","ok")</f>
        <v>Restez vigilant à l'évolution sur le poste</v>
      </c>
    </row>
    <row r="9" spans="1:12" ht="15.75" customHeight="1" x14ac:dyDescent="0.25">
      <c r="A9" s="31" t="s">
        <v>116</v>
      </c>
      <c r="B9" s="31" t="s">
        <v>117</v>
      </c>
      <c r="C9" s="31" t="s">
        <v>113</v>
      </c>
      <c r="D9" s="31" t="s">
        <v>118</v>
      </c>
      <c r="E9" s="54">
        <f>VLOOKUP(A9,'Etablir la grille interne'!$A$8:$K$12,11,FALSE)</f>
        <v>60000</v>
      </c>
      <c r="F9" s="54">
        <f>VLOOKUP(D9,'Bench externe des salaires'!$A$7:$R$14,8,FALSE)</f>
        <v>38393.939393939392</v>
      </c>
      <c r="G9" s="54">
        <f>VLOOKUP(C9,'Grille des salaires'!$A$7:$E$11,3,FALSE)</f>
        <v>22000</v>
      </c>
      <c r="H9" s="54">
        <f>VLOOKUP(A9,'Etablir la grille interne'!$A$8:$W$12,19,FALSE)</f>
        <v>36363.63636363636</v>
      </c>
      <c r="I9" s="54">
        <f>VLOOKUP(D9,'Grille des salaires'!$A$25:$D$30,2,FALSE)</f>
        <v>36363.63636363636</v>
      </c>
      <c r="J9" s="54">
        <f>VLOOKUP(C9,'Grille des salaires'!$A$33:$D$36,2,FALSE)</f>
        <v>20000</v>
      </c>
      <c r="K9" s="32" t="str">
        <f t="shared" si="0"/>
        <v>ok</v>
      </c>
      <c r="L9" s="32" t="str">
        <f t="shared" si="1"/>
        <v>Restez vigilant à l'évolution sur le poste</v>
      </c>
    </row>
    <row r="10" spans="1:12" ht="15.75" customHeight="1" x14ac:dyDescent="0.25">
      <c r="A10" s="31" t="s">
        <v>120</v>
      </c>
      <c r="B10" s="31" t="s">
        <v>121</v>
      </c>
      <c r="C10" s="31" t="s">
        <v>113</v>
      </c>
      <c r="D10" s="31" t="s">
        <v>114</v>
      </c>
      <c r="E10" s="54">
        <f>VLOOKUP(A10,'Etablir la grille interne'!$A$8:$K$12,11,FALSE)</f>
        <v>36500</v>
      </c>
      <c r="F10" s="54">
        <f>VLOOKUP(D10,'Bench externe des salaires'!$A$7:$R$14,8,FALSE)</f>
        <v>22333.333333333332</v>
      </c>
      <c r="G10" s="54">
        <f>VLOOKUP(C10,'Grille des salaires'!$A$7:$E$11,3,FALSE)</f>
        <v>22000</v>
      </c>
      <c r="H10" s="54">
        <f>VLOOKUP(A10,'Etablir la grille interne'!$A$8:$W$12,19,FALSE)</f>
        <v>28061.594202898548</v>
      </c>
      <c r="I10" s="54">
        <f>VLOOKUP(D10,'Grille des salaires'!$A$25:$D$30,2,FALSE)</f>
        <v>20000</v>
      </c>
      <c r="J10" s="54">
        <f>VLOOKUP(C10,'Grille des salaires'!$A$33:$D$36,2,FALSE)</f>
        <v>20000</v>
      </c>
      <c r="K10" s="32" t="str">
        <f t="shared" si="0"/>
        <v>ok</v>
      </c>
      <c r="L10" s="32" t="str">
        <f t="shared" si="1"/>
        <v>ok</v>
      </c>
    </row>
    <row r="11" spans="1:12" ht="15.75" customHeight="1" x14ac:dyDescent="0.25">
      <c r="A11" s="31" t="s">
        <v>122</v>
      </c>
      <c r="B11" s="31" t="s">
        <v>123</v>
      </c>
      <c r="C11" s="31" t="s">
        <v>124</v>
      </c>
      <c r="D11" s="31" t="s">
        <v>125</v>
      </c>
      <c r="E11" s="54">
        <f>VLOOKUP(A11,'Etablir la grille interne'!$A$8:$K$12,11,FALSE)</f>
        <v>60000</v>
      </c>
      <c r="F11" s="54">
        <f>VLOOKUP(D11,'Bench externe des salaires'!$A$7:$R$14,8,FALSE)</f>
        <v>43560.606060606056</v>
      </c>
      <c r="G11" s="54">
        <f>VLOOKUP(C11,'Grille des salaires'!$A$7:$E$11,3,FALSE)</f>
        <v>29500</v>
      </c>
      <c r="H11" s="54">
        <f>VLOOKUP(A11,'Etablir la grille interne'!$A$8:$W$12,19,FALSE)</f>
        <v>36363.63636363636</v>
      </c>
      <c r="I11" s="54">
        <f>VLOOKUP(D11,'Grille des salaires'!$A$25:$D$30,2,FALSE)</f>
        <v>36363.63636363636</v>
      </c>
      <c r="J11" s="54">
        <f>VLOOKUP(C11,'Grille des salaires'!$A$33:$D$36,2,FALSE)</f>
        <v>24299.242424242424</v>
      </c>
      <c r="K11" s="32" t="str">
        <f t="shared" si="0"/>
        <v>ok</v>
      </c>
      <c r="L11" s="32" t="str">
        <f t="shared" si="1"/>
        <v>Restez vigilant à l'évolution sur le poste</v>
      </c>
    </row>
    <row r="12" spans="1:12" ht="15.75" customHeight="1" x14ac:dyDescent="0.25">
      <c r="A12" s="31" t="s">
        <v>126</v>
      </c>
      <c r="B12" s="31" t="s">
        <v>127</v>
      </c>
      <c r="C12" s="31" t="s">
        <v>124</v>
      </c>
      <c r="D12" s="31" t="s">
        <v>128</v>
      </c>
      <c r="E12" s="54">
        <f>VLOOKUP(A12,'Etablir la grille interne'!$A$8:$K$12,11,FALSE)</f>
        <v>29500</v>
      </c>
      <c r="F12" s="54">
        <f>VLOOKUP(D12,'Bench externe des salaires'!$A$7:$R$14,8,FALSE)</f>
        <v>30633.207070707071</v>
      </c>
      <c r="G12" s="54">
        <f>VLOOKUP(C12,'Grille des salaires'!$A$7:$E$11,3,FALSE)</f>
        <v>29500</v>
      </c>
      <c r="H12" s="54">
        <f>VLOOKUP(A12,'Etablir la grille interne'!$A$8:$W$12,19,FALSE)</f>
        <v>24299.242424242424</v>
      </c>
      <c r="I12" s="54">
        <f>VLOOKUP(D12,'Grille des salaires'!$A$25:$D$30,2,FALSE)</f>
        <v>24299.242424242424</v>
      </c>
      <c r="J12" s="54">
        <f>VLOOKUP(C12,'Grille des salaires'!$A$33:$D$36,2,FALSE)</f>
        <v>24299.242424242424</v>
      </c>
      <c r="K12" s="32" t="str">
        <f t="shared" si="0"/>
        <v>Alerte ! le marché est plus favorable</v>
      </c>
      <c r="L12" s="32" t="str">
        <f t="shared" si="1"/>
        <v>Restez vigilant à l'évolution sur le poste</v>
      </c>
    </row>
    <row r="13" spans="1:12" ht="15.75" customHeight="1" x14ac:dyDescent="0.25">
      <c r="A13" s="31"/>
      <c r="B13" s="31"/>
      <c r="C13" s="31"/>
      <c r="D13" s="31"/>
      <c r="E13" s="54"/>
      <c r="F13" s="32"/>
      <c r="G13" s="32"/>
      <c r="H13" s="32"/>
      <c r="I13" s="32"/>
      <c r="J13" s="32"/>
      <c r="K13" s="32"/>
      <c r="L13" s="32"/>
    </row>
    <row r="14" spans="1:12" ht="15.7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2" ht="15.7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spans="1:12" ht="15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spans="1:12" ht="15.7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</row>
    <row r="18" spans="1:12" ht="15.75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12" ht="15.75" customHeight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15.7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 ht="15.75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ht="15.75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2" ht="15.75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1:12" ht="15.75" customHeight="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2" ht="15.75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1:12" ht="15.75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1:12" ht="15.7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1:12" ht="15.7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1:12" ht="15.7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1:12" ht="12.5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1:12" ht="12.5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1:12" ht="12.5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1:12" ht="12.5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1:12" ht="12.5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1:12" ht="12.5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1:12" ht="12.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1:12" ht="12.5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1:12" ht="12.5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spans="1:12" ht="12.5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1:12" ht="12.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1:12" ht="12.5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spans="1:12" ht="12.5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spans="1:12" ht="12.5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12.5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</sheetData>
  <hyperlinks>
    <hyperlink ref="A4" r:id="rId1" xr:uid="{00000000-0004-0000-0600-000000000000}"/>
    <hyperlink ref="F4" location="Checklist!A1" display="Retour aux étapes" xr:uid="{00000000-0004-0000-0600-000001000000}"/>
  </hyperlinks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38"/>
  <sheetViews>
    <sheetView showGridLines="0" workbookViewId="0"/>
  </sheetViews>
  <sheetFormatPr baseColWidth="10" defaultColWidth="12.6328125" defaultRowHeight="15.75" customHeight="1" x14ac:dyDescent="0.25"/>
  <cols>
    <col min="1" max="1" width="40.453125" customWidth="1"/>
    <col min="2" max="3" width="18.08984375" customWidth="1"/>
    <col min="4" max="5" width="23.453125" customWidth="1"/>
  </cols>
  <sheetData>
    <row r="1" spans="1:7" ht="15.75" customHeight="1" x14ac:dyDescent="0.25">
      <c r="A1" s="31"/>
      <c r="B1" s="31"/>
      <c r="C1" s="31"/>
      <c r="D1" s="31"/>
      <c r="E1" s="31"/>
      <c r="F1" s="31"/>
      <c r="G1" s="31"/>
    </row>
    <row r="2" spans="1:7" ht="15.75" customHeight="1" x14ac:dyDescent="0.25">
      <c r="A2" s="31"/>
      <c r="B2" s="31"/>
      <c r="C2" s="31"/>
      <c r="D2" s="31"/>
      <c r="E2" s="31"/>
      <c r="F2" s="31"/>
      <c r="G2" s="31"/>
    </row>
    <row r="3" spans="1:7" ht="15.75" customHeight="1" x14ac:dyDescent="0.25">
      <c r="A3" s="31"/>
      <c r="B3" s="31"/>
      <c r="C3" s="31"/>
      <c r="D3" s="31"/>
      <c r="E3" s="31"/>
      <c r="F3" s="31"/>
      <c r="G3" s="31"/>
    </row>
    <row r="4" spans="1:7" ht="15.75" customHeight="1" x14ac:dyDescent="0.35">
      <c r="A4" s="20" t="s">
        <v>0</v>
      </c>
      <c r="B4" s="31"/>
      <c r="C4" s="31"/>
      <c r="D4" s="31"/>
      <c r="E4" s="34" t="s">
        <v>88</v>
      </c>
      <c r="F4" s="34"/>
      <c r="G4" s="31"/>
    </row>
    <row r="5" spans="1:7" ht="15.75" customHeight="1" x14ac:dyDescent="0.25">
      <c r="A5" s="31"/>
      <c r="B5" s="31"/>
      <c r="C5" s="31"/>
      <c r="D5" s="31"/>
      <c r="E5" s="31"/>
      <c r="F5" s="31"/>
      <c r="G5" s="31"/>
    </row>
    <row r="6" spans="1:7" ht="15.75" customHeight="1" x14ac:dyDescent="0.35">
      <c r="A6" s="52"/>
      <c r="B6" s="33" t="s">
        <v>164</v>
      </c>
      <c r="C6" s="52"/>
      <c r="D6" s="52"/>
      <c r="E6" s="52"/>
    </row>
    <row r="7" spans="1:7" ht="15.75" customHeight="1" x14ac:dyDescent="0.35">
      <c r="A7" s="52"/>
      <c r="B7" s="52"/>
      <c r="C7" s="52"/>
      <c r="D7" s="52"/>
      <c r="E7" s="52"/>
    </row>
    <row r="9" spans="1:7" ht="15.75" customHeight="1" x14ac:dyDescent="0.25">
      <c r="C9" s="32"/>
    </row>
    <row r="10" spans="1:7" ht="15.75" customHeight="1" x14ac:dyDescent="0.25">
      <c r="A10" s="31" t="s">
        <v>165</v>
      </c>
      <c r="C10" s="32" t="s">
        <v>166</v>
      </c>
    </row>
    <row r="11" spans="1:7" ht="15.75" customHeight="1" x14ac:dyDescent="0.25">
      <c r="A11" s="31" t="s">
        <v>125</v>
      </c>
      <c r="C11" s="62">
        <f>VLOOKUP(A11,'Grille des salaires'!A25:D30,2,FALSE)</f>
        <v>36363.63636363636</v>
      </c>
    </row>
    <row r="13" spans="1:7" ht="15.75" customHeight="1" x14ac:dyDescent="0.25">
      <c r="A13" s="31" t="s">
        <v>167</v>
      </c>
      <c r="C13" s="31" t="s">
        <v>168</v>
      </c>
    </row>
    <row r="14" spans="1:7" ht="15.75" customHeight="1" x14ac:dyDescent="0.25">
      <c r="A14" s="31" t="s">
        <v>124</v>
      </c>
      <c r="C14" s="54">
        <f>VLOOKUP(A14,'Grille des salaires'!A33:D36,2,FALSE)</f>
        <v>24299.242424242424</v>
      </c>
    </row>
    <row r="16" spans="1:7" ht="15.75" customHeight="1" x14ac:dyDescent="0.25">
      <c r="A16" s="31" t="s">
        <v>169</v>
      </c>
      <c r="C16" s="32" t="s">
        <v>54</v>
      </c>
    </row>
    <row r="17" spans="1:5" ht="15.75" customHeight="1" x14ac:dyDescent="0.25">
      <c r="A17" s="31" t="s">
        <v>59</v>
      </c>
      <c r="C17" s="32">
        <f>VLOOKUP(A17,'Tables personnalisées '!B19:D24,3,FALSE)</f>
        <v>1.1000000000000001</v>
      </c>
    </row>
    <row r="19" spans="1:5" ht="15.75" customHeight="1" x14ac:dyDescent="0.25">
      <c r="A19" s="31" t="s">
        <v>170</v>
      </c>
      <c r="C19" s="32" t="s">
        <v>33</v>
      </c>
    </row>
    <row r="20" spans="1:5" ht="15.75" customHeight="1" x14ac:dyDescent="0.25">
      <c r="A20" s="31" t="s">
        <v>71</v>
      </c>
      <c r="C20" s="63">
        <f>VLOOKUP(A20,'Tables personnalisées '!B30:D35,3,FALSE)</f>
        <v>4000</v>
      </c>
    </row>
    <row r="22" spans="1:5" ht="15.75" customHeight="1" x14ac:dyDescent="0.25">
      <c r="A22" s="31" t="s">
        <v>171</v>
      </c>
      <c r="C22" s="32" t="s">
        <v>54</v>
      </c>
    </row>
    <row r="23" spans="1:5" ht="15.75" customHeight="1" x14ac:dyDescent="0.25">
      <c r="A23" s="31" t="s">
        <v>81</v>
      </c>
      <c r="C23" s="32">
        <f>VLOOKUP(A23,'Tables personnalisées '!B41:D45,3,FALSE)</f>
        <v>1</v>
      </c>
    </row>
    <row r="25" spans="1:5" ht="15.75" customHeight="1" x14ac:dyDescent="0.25">
      <c r="D25" s="32" t="s">
        <v>172</v>
      </c>
      <c r="E25" s="32" t="s">
        <v>173</v>
      </c>
    </row>
    <row r="26" spans="1:5" ht="15.75" customHeight="1" x14ac:dyDescent="0.35">
      <c r="C26" s="64">
        <f>(C11*C17+C20)*C23</f>
        <v>44000</v>
      </c>
      <c r="D26" s="54">
        <f>VLOOKUP(A11,'Bench externe des salaires'!A7:H10,2,FALSE)</f>
        <v>35000</v>
      </c>
      <c r="E26" s="54">
        <f>VLOOKUP(A11,'Bench externe des salaires'!A7:H10,8,FALSE)</f>
        <v>43560.606060606056</v>
      </c>
    </row>
    <row r="28" spans="1:5" ht="15.75" customHeight="1" x14ac:dyDescent="0.25">
      <c r="A28" s="31" t="s">
        <v>174</v>
      </c>
      <c r="B28" s="54">
        <f>C26-(C26*A29)</f>
        <v>41800</v>
      </c>
      <c r="C28" s="54">
        <f>C26*A29+C26</f>
        <v>46200</v>
      </c>
    </row>
    <row r="29" spans="1:5" x14ac:dyDescent="0.3">
      <c r="A29" s="65">
        <v>0.05</v>
      </c>
    </row>
    <row r="32" spans="1:5" ht="13" x14ac:dyDescent="0.3">
      <c r="A32" s="72" t="s">
        <v>175</v>
      </c>
      <c r="B32" s="67"/>
      <c r="D32" s="72" t="s">
        <v>176</v>
      </c>
      <c r="E32" s="67"/>
    </row>
    <row r="33" spans="1:4" ht="12.5" x14ac:dyDescent="0.25">
      <c r="A33" s="31" t="s">
        <v>35</v>
      </c>
      <c r="B33" s="63">
        <f>C26</f>
        <v>44000</v>
      </c>
      <c r="D33" s="31" t="s">
        <v>177</v>
      </c>
    </row>
    <row r="34" spans="1:4" ht="12.5" x14ac:dyDescent="0.25">
      <c r="A34" s="31" t="s">
        <v>38</v>
      </c>
      <c r="B34" s="63">
        <f>VLOOKUP(A34,'Tables personnalisées '!$B$9:$D$14,3,FALSE)+B33</f>
        <v>46000</v>
      </c>
      <c r="D34" s="31" t="s">
        <v>178</v>
      </c>
    </row>
    <row r="35" spans="1:4" ht="12.5" x14ac:dyDescent="0.25">
      <c r="A35" s="31" t="s">
        <v>41</v>
      </c>
      <c r="B35" s="63">
        <f>VLOOKUP(A35,'Tables personnalisées '!$B$9:$D$14,3,FALSE)+B34</f>
        <v>50000</v>
      </c>
      <c r="D35" s="31" t="s">
        <v>152</v>
      </c>
    </row>
    <row r="36" spans="1:4" ht="12.5" x14ac:dyDescent="0.25">
      <c r="A36" s="31" t="s">
        <v>44</v>
      </c>
      <c r="B36" s="63">
        <f>VLOOKUP(A36,'Tables personnalisées '!$B$9:$D$14,3,FALSE)+B35</f>
        <v>56000</v>
      </c>
      <c r="D36" s="31" t="s">
        <v>152</v>
      </c>
    </row>
    <row r="37" spans="1:4" ht="12.5" x14ac:dyDescent="0.25">
      <c r="A37" s="31" t="s">
        <v>47</v>
      </c>
      <c r="B37" s="63">
        <f>VLOOKUP(A37,'Tables personnalisées '!$B$9:$D$14,3,FALSE)+B36</f>
        <v>64000</v>
      </c>
    </row>
    <row r="38" spans="1:4" ht="12.5" x14ac:dyDescent="0.25">
      <c r="A38" s="31" t="s">
        <v>50</v>
      </c>
      <c r="B38" s="63">
        <f>VLOOKUP(A38,'Tables personnalisées '!$B$9:$D$14,3,FALSE)+B37</f>
        <v>74000</v>
      </c>
    </row>
  </sheetData>
  <mergeCells count="2">
    <mergeCell ref="A32:B32"/>
    <mergeCell ref="D32:E32"/>
  </mergeCells>
  <hyperlinks>
    <hyperlink ref="A4" r:id="rId1" xr:uid="{00000000-0004-0000-0700-000000000000}"/>
    <hyperlink ref="E4" location="Checklist!A1" display="Retour aux étapes" xr:uid="{00000000-0004-0000-0700-000001000000}"/>
  </hyperlinks>
  <pageMargins left="0.7" right="0.7" top="0.75" bottom="0.75" header="0.3" footer="0.3"/>
  <drawing r:id="rId2"/>
  <tableParts count="5"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700-000000000000}">
          <x14:formula1>
            <xm:f>'Tables personnalisées '!$B$30:$B$35</xm:f>
          </x14:formula1>
          <xm:sqref>A20</xm:sqref>
        </x14:dataValidation>
        <x14:dataValidation type="list" allowBlank="1" xr:uid="{00000000-0002-0000-0700-000001000000}">
          <x14:formula1>
            <xm:f>'Tables personnalisées '!$B$19:$B$24</xm:f>
          </x14:formula1>
          <xm:sqref>A17</xm:sqref>
        </x14:dataValidation>
        <x14:dataValidation type="list" allowBlank="1" xr:uid="{00000000-0002-0000-0700-000002000000}">
          <x14:formula1>
            <xm:f>'Tables personnalisées '!$B$9:$B$14</xm:f>
          </x14:formula1>
          <xm:sqref>A33:A38</xm:sqref>
        </x14:dataValidation>
        <x14:dataValidation type="list" allowBlank="1" xr:uid="{00000000-0002-0000-0700-000003000000}">
          <x14:formula1>
            <xm:f>'Etablir la grille interne'!$D:$D</xm:f>
          </x14:formula1>
          <xm:sqref>A11</xm:sqref>
        </x14:dataValidation>
        <x14:dataValidation type="list" allowBlank="1" xr:uid="{00000000-0002-0000-0700-000004000000}">
          <x14:formula1>
            <xm:f>'Etablir la grille interne'!$C$8:$C$12</xm:f>
          </x14:formula1>
          <xm:sqref>A14</xm:sqref>
        </x14:dataValidation>
        <x14:dataValidation type="list" allowBlank="1" xr:uid="{00000000-0002-0000-0700-000005000000}">
          <x14:formula1>
            <xm:f>'Tables personnalisées '!$B$41:$B$45</xm:f>
          </x14:formula1>
          <xm:sqref>A23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Bon à savoir</vt:lpstr>
      <vt:lpstr>Checklist</vt:lpstr>
      <vt:lpstr>Tables personnalisées </vt:lpstr>
      <vt:lpstr>Etablir la grille interne</vt:lpstr>
      <vt:lpstr>Grille des salaires</vt:lpstr>
      <vt:lpstr>Bench externe des salaires</vt:lpstr>
      <vt:lpstr>Suivi de la grille</vt:lpstr>
      <vt:lpstr>Calculateur interne de rémunéra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JOULIE NATHALIE</dc:creator>
  <cp:lastModifiedBy>JOULIE NATHALIE</cp:lastModifiedBy>
  <dcterms:created xsi:type="dcterms:W3CDTF">2024-11-08T14:05:20Z</dcterms:created>
  <dcterms:modified xsi:type="dcterms:W3CDTF">2024-11-08T14:05:21Z</dcterms:modified>
</cp:coreProperties>
</file>